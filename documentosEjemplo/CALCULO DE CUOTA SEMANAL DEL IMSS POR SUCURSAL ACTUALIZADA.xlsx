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RH\Synology\RH\IMSS\"/>
    </mc:Choice>
  </mc:AlternateContent>
  <xr:revisionPtr revIDLastSave="0" documentId="13_ncr:1_{835EBD38-5D9F-46D2-8211-F18852BA67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SEGURADOS MR. LANA" sheetId="4" r:id="rId1"/>
    <sheet name="UNIDAD DE NEGOCIO" sheetId="5" r:id="rId2"/>
    <sheet name="IMSS SUCURSALES" sheetId="6" r:id="rId3"/>
    <sheet name="Hoja1" sheetId="7" r:id="rId4"/>
  </sheets>
  <definedNames>
    <definedName name="_xlnm._FilterDatabase" localSheetId="0" hidden="1">'ASEGURADOS MR. LANA'!$A$1:$G$1</definedName>
    <definedName name="_xlnm._FilterDatabase" localSheetId="2" hidden="1">'IMSS SUCURSALES'!$A$1:$C$1</definedName>
  </definedNames>
  <calcPr calcId="191029"/>
</workbook>
</file>

<file path=xl/calcChain.xml><?xml version="1.0" encoding="utf-8"?>
<calcChain xmlns="http://schemas.openxmlformats.org/spreadsheetml/2006/main">
  <c r="C93" i="4" l="1"/>
  <c r="F53" i="4"/>
  <c r="E53" i="4"/>
  <c r="A124" i="4"/>
  <c r="A100" i="4"/>
  <c r="C94" i="4"/>
  <c r="C114" i="4"/>
  <c r="C111" i="4"/>
  <c r="C110" i="4"/>
  <c r="G75" i="4"/>
  <c r="C122" i="4" s="1"/>
  <c r="G62" i="4"/>
  <c r="C119" i="4" s="1"/>
  <c r="G32" i="4"/>
  <c r="C116" i="4" s="1"/>
  <c r="G20" i="4"/>
  <c r="G22" i="4"/>
  <c r="C113" i="4" s="1"/>
  <c r="E12" i="4"/>
  <c r="G6" i="4"/>
  <c r="G2" i="4"/>
  <c r="C109" i="4" s="1"/>
  <c r="F2" i="4"/>
  <c r="C85" i="4" s="1"/>
  <c r="E2" i="4"/>
  <c r="E3" i="4"/>
  <c r="F6" i="4" s="1"/>
  <c r="C86" i="4" s="1"/>
  <c r="C91" i="4"/>
  <c r="E32" i="4"/>
  <c r="E75" i="4"/>
  <c r="E22" i="4"/>
  <c r="E20" i="4"/>
  <c r="E61" i="4"/>
  <c r="G72" i="4"/>
  <c r="C121" i="4" s="1"/>
  <c r="G53" i="4"/>
  <c r="C117" i="4" s="1"/>
  <c r="G24" i="4"/>
  <c r="G11" i="4"/>
  <c r="E52" i="4"/>
  <c r="E51" i="4"/>
  <c r="E72" i="4"/>
  <c r="E60" i="4"/>
  <c r="E31" i="4"/>
  <c r="E50" i="4"/>
  <c r="G63" i="4"/>
  <c r="C120" i="4" s="1"/>
  <c r="E49" i="4"/>
  <c r="D78" i="4"/>
  <c r="E6" i="4"/>
  <c r="E59" i="4"/>
  <c r="E11" i="4"/>
  <c r="E30" i="4"/>
  <c r="E19" i="4"/>
  <c r="G76" i="4"/>
  <c r="C123" i="4" s="1"/>
  <c r="E71" i="4"/>
  <c r="E29" i="4"/>
  <c r="E76" i="4"/>
  <c r="F76" i="4" s="1"/>
  <c r="C99" i="4" s="1"/>
  <c r="E28" i="4"/>
  <c r="E62" i="4"/>
  <c r="E54" i="4"/>
  <c r="F62" i="4" s="1"/>
  <c r="C95" i="4" s="1"/>
  <c r="E25" i="4"/>
  <c r="F32" i="4" s="1"/>
  <c r="C92" i="4" s="1"/>
  <c r="E73" i="4"/>
  <c r="F75" i="4" s="1"/>
  <c r="C98" i="4" s="1"/>
  <c r="E55" i="4"/>
  <c r="E35" i="4"/>
  <c r="E26" i="4"/>
  <c r="E63" i="4"/>
  <c r="F63" i="4" s="1"/>
  <c r="C96" i="4" s="1"/>
  <c r="E13" i="4"/>
  <c r="E21" i="4"/>
  <c r="F22" i="4" s="1"/>
  <c r="C89" i="4" s="1"/>
  <c r="E64" i="4"/>
  <c r="F72" i="4" s="1"/>
  <c r="C97" i="4" s="1"/>
  <c r="E65" i="4"/>
  <c r="E14" i="4"/>
  <c r="E66" i="4"/>
  <c r="E36" i="4"/>
  <c r="E23" i="4"/>
  <c r="F24" i="4" s="1"/>
  <c r="C90" i="4" s="1"/>
  <c r="E74" i="4"/>
  <c r="E15" i="4"/>
  <c r="E4" i="4"/>
  <c r="E27" i="4"/>
  <c r="E37" i="4"/>
  <c r="E38" i="4"/>
  <c r="E56" i="4"/>
  <c r="E7" i="4"/>
  <c r="E8" i="4"/>
  <c r="E5" i="4"/>
  <c r="E57" i="4"/>
  <c r="E16" i="4"/>
  <c r="E39" i="4"/>
  <c r="E17" i="4"/>
  <c r="E24" i="4"/>
  <c r="E67" i="4"/>
  <c r="E40" i="4"/>
  <c r="E9" i="4"/>
  <c r="E41" i="4"/>
  <c r="E42" i="4"/>
  <c r="E68" i="4"/>
  <c r="E43" i="4"/>
  <c r="E10" i="4"/>
  <c r="E18" i="4"/>
  <c r="E44" i="4"/>
  <c r="E45" i="4"/>
  <c r="E46" i="4"/>
  <c r="E69" i="4"/>
  <c r="E47" i="4"/>
  <c r="E58" i="4"/>
  <c r="E48" i="4"/>
  <c r="E70" i="4"/>
  <c r="G78" i="4" l="1"/>
  <c r="C112" i="4"/>
  <c r="C124" i="4" s="1"/>
  <c r="F20" i="4"/>
  <c r="C88" i="4" s="1"/>
  <c r="F11" i="4"/>
  <c r="C87" i="4" s="1"/>
  <c r="D41" i="5" l="1"/>
  <c r="D40" i="5"/>
  <c r="D39" i="5"/>
  <c r="D35" i="5"/>
  <c r="D29" i="5"/>
  <c r="D17" i="5"/>
  <c r="D8" i="5"/>
  <c r="E34" i="4"/>
  <c r="E33" i="4"/>
  <c r="F78" i="4" l="1"/>
  <c r="D42" i="5"/>
  <c r="E39" i="5"/>
  <c r="E78" i="4"/>
  <c r="C100" i="4" l="1"/>
  <c r="E40" i="5"/>
  <c r="E41" i="5"/>
  <c r="C102" i="4" l="1"/>
  <c r="E42" i="5"/>
</calcChain>
</file>

<file path=xl/sharedStrings.xml><?xml version="1.0" encoding="utf-8"?>
<sst xmlns="http://schemas.openxmlformats.org/spreadsheetml/2006/main" count="583" uniqueCount="250">
  <si>
    <t>Nombre completo</t>
  </si>
  <si>
    <t>Clasificación</t>
  </si>
  <si>
    <t>IMSS/INFONAVIT MENSUAL</t>
  </si>
  <si>
    <t>CUOTA SEMANAL POR GESTROR</t>
  </si>
  <si>
    <t>CUOTA SEMANAL POR SUCURSAL</t>
  </si>
  <si>
    <t>CORDOBA</t>
  </si>
  <si>
    <t>Cuernavaca</t>
  </si>
  <si>
    <t>HUAMANTLA</t>
  </si>
  <si>
    <t>Ixtlahuaca</t>
  </si>
  <si>
    <t>MIACATLAN</t>
  </si>
  <si>
    <t>ORIZABA</t>
  </si>
  <si>
    <t>SAN LUIS P</t>
  </si>
  <si>
    <t>Tenango</t>
  </si>
  <si>
    <t>Tlaxcala</t>
  </si>
  <si>
    <t>TULA</t>
  </si>
  <si>
    <t>ATLIXCO</t>
  </si>
  <si>
    <t>SAN JUAN</t>
  </si>
  <si>
    <t>SUCURSAL</t>
  </si>
  <si>
    <t>CUOTA SEMANAL IMSS</t>
  </si>
  <si>
    <t>Atlacomulco</t>
  </si>
  <si>
    <t>NSS</t>
  </si>
  <si>
    <t xml:space="preserve">GONZALEZ GARCIA HOMERO                            </t>
  </si>
  <si>
    <t xml:space="preserve">ARCE ROMERO JORGE                                 </t>
  </si>
  <si>
    <t xml:space="preserve">BONILLA ROBLES DAVID                              </t>
  </si>
  <si>
    <t>29169802187</t>
  </si>
  <si>
    <t xml:space="preserve">GONZALEZ RAMIREZ ROBERTO CHRISTIAN                </t>
  </si>
  <si>
    <t>08199698815</t>
  </si>
  <si>
    <t xml:space="preserve">LOPEZ RAMIREZ LUIS ANGEL                          </t>
  </si>
  <si>
    <t>67089301427</t>
  </si>
  <si>
    <t xml:space="preserve">JUAREZ TEMOXTLE BERENICE                          </t>
  </si>
  <si>
    <t>66159723460</t>
  </si>
  <si>
    <t xml:space="preserve">LOPEZ LOPEZ ERNESTO                               </t>
  </si>
  <si>
    <t>46159552960</t>
  </si>
  <si>
    <t xml:space="preserve">ORTIZ MENDEZ HEIDY                                </t>
  </si>
  <si>
    <t>67119352523</t>
  </si>
  <si>
    <t xml:space="preserve">ROCHA MORA RICARDO                                </t>
  </si>
  <si>
    <t xml:space="preserve">AVILA MARTINEZ DULCE ADALI                        </t>
  </si>
  <si>
    <t>CORPORATIVO</t>
  </si>
  <si>
    <t xml:space="preserve">CASTILLO FLORES FRANCISCO JAVIER                  </t>
  </si>
  <si>
    <t xml:space="preserve">DIAZ ARIAS SAMUEL ANTONIO                         </t>
  </si>
  <si>
    <t>18169825801</t>
  </si>
  <si>
    <t xml:space="preserve">FIGUEROA HERNANDEZ LUZ ELENA                      </t>
  </si>
  <si>
    <t>90927314394</t>
  </si>
  <si>
    <t xml:space="preserve">MACARIO CANTU DOMINGA                             </t>
  </si>
  <si>
    <t>15003400221</t>
  </si>
  <si>
    <t xml:space="preserve">MARTINEZ BAHENA CLEOFAS                           </t>
  </si>
  <si>
    <t xml:space="preserve">NAVARRO RAMOS PABLO ALBERTO                       </t>
  </si>
  <si>
    <t>02187672668</t>
  </si>
  <si>
    <t xml:space="preserve">RODRIGUEZ HERRERA ALMA LOURDES                    </t>
  </si>
  <si>
    <t>72088408231</t>
  </si>
  <si>
    <t xml:space="preserve">DIAZ SUAREZ MARIBEL                               </t>
  </si>
  <si>
    <t>CUERNAVACA</t>
  </si>
  <si>
    <t>18159007196</t>
  </si>
  <si>
    <t xml:space="preserve">GALICIA VELAZQUEZ ROBERTO                         </t>
  </si>
  <si>
    <t xml:space="preserve">GARCIA JIMENEZ JUAN                               </t>
  </si>
  <si>
    <t>15058707355</t>
  </si>
  <si>
    <t xml:space="preserve">BARRERA BERNABE ISAI                              </t>
  </si>
  <si>
    <t>15088928104</t>
  </si>
  <si>
    <t xml:space="preserve">CAMPOS GUTIERREZ LORENZO                          </t>
  </si>
  <si>
    <t xml:space="preserve">JORGE TEODOSIO CRISTIAN                           </t>
  </si>
  <si>
    <t>02188648683</t>
  </si>
  <si>
    <t xml:space="preserve">ACEVEDO MENDEZ ELISEO                             </t>
  </si>
  <si>
    <t>67129021399</t>
  </si>
  <si>
    <t xml:space="preserve">AGUILAR RIVAS LIZETTE ALEJANDRA                   </t>
  </si>
  <si>
    <t xml:space="preserve">ALGALAN DOMINGUEZ OSCAR ISSAC                     </t>
  </si>
  <si>
    <t xml:space="preserve">DE LUNA NOYOLA EUDY GUILLERMO                     </t>
  </si>
  <si>
    <t>51098401246</t>
  </si>
  <si>
    <t xml:space="preserve">GABRIEL AMADOR EDER ISAI                          </t>
  </si>
  <si>
    <t>49159503264</t>
  </si>
  <si>
    <t xml:space="preserve">HERNANDEZ CARDENAS ENRIQUE                        </t>
  </si>
  <si>
    <t>67098920878</t>
  </si>
  <si>
    <t xml:space="preserve">HERRERA ROSAS LUIS ANTONIO                        </t>
  </si>
  <si>
    <t>67109122480</t>
  </si>
  <si>
    <t xml:space="preserve">MARCELINO PELLICO GRISELDA                        </t>
  </si>
  <si>
    <t>67018336155</t>
  </si>
  <si>
    <t xml:space="preserve">NOLASCO DOMINGUEZ MARGARITA JAZMIN                </t>
  </si>
  <si>
    <t>67118909661</t>
  </si>
  <si>
    <t xml:space="preserve">PATI#O CASTA#EDA FELIPE ADRIAN                    </t>
  </si>
  <si>
    <t>67139008212</t>
  </si>
  <si>
    <t xml:space="preserve">QUEVEDO LOPEZ IVAN                                </t>
  </si>
  <si>
    <t>67038435144</t>
  </si>
  <si>
    <t xml:space="preserve">RIVERA DEL VALLE ALEJANDRO                        </t>
  </si>
  <si>
    <t>03159509995</t>
  </si>
  <si>
    <t xml:space="preserve">ROMERO ROMERO LUIS GERARDO                        </t>
  </si>
  <si>
    <t>67108716837</t>
  </si>
  <si>
    <t xml:space="preserve">ROSAS JUAREZ ALEJANDRA                            </t>
  </si>
  <si>
    <t>67078829107</t>
  </si>
  <si>
    <t xml:space="preserve">RUIZ ROQUE GUIDO HUMBERTO                         </t>
  </si>
  <si>
    <t>67129025127</t>
  </si>
  <si>
    <t xml:space="preserve">SANCHEZ VELASCO EVA CRISTINA                      </t>
  </si>
  <si>
    <t>67088901003</t>
  </si>
  <si>
    <t xml:space="preserve">VELAZQUEZ CECILIO MAURICIO                        </t>
  </si>
  <si>
    <t xml:space="preserve">MARTINEZ LOPEZ ANTONIO IVAN                       </t>
  </si>
  <si>
    <t xml:space="preserve">ALVAREZ FLORES JEARIM EMMANUEL                    </t>
  </si>
  <si>
    <t>SAN LUIS</t>
  </si>
  <si>
    <t>18179803319</t>
  </si>
  <si>
    <t xml:space="preserve">ARAGON PONCE CARLOS ALEXIS                        </t>
  </si>
  <si>
    <t>08190007842</t>
  </si>
  <si>
    <t xml:space="preserve">BRAVO BRAVO ALBERTO FLORENTINO                    </t>
  </si>
  <si>
    <t>35149457067</t>
  </si>
  <si>
    <t xml:space="preserve">JACOBO HERRERA RAFAEL                             </t>
  </si>
  <si>
    <t>43987923844</t>
  </si>
  <si>
    <t xml:space="preserve">LUGO LOZANO LUIS                                  </t>
  </si>
  <si>
    <t>41119028532</t>
  </si>
  <si>
    <t xml:space="preserve">TORRES CASTILLO CARLOS EDUARDO                    </t>
  </si>
  <si>
    <t>TENANGO</t>
  </si>
  <si>
    <t>61137901197</t>
  </si>
  <si>
    <t xml:space="preserve">DIAZ VAZQUEZ EDEN                                 </t>
  </si>
  <si>
    <t>TLAXCALA</t>
  </si>
  <si>
    <t>61109108631</t>
  </si>
  <si>
    <t xml:space="preserve">FLORES CABRERA MARICELA                           </t>
  </si>
  <si>
    <t xml:space="preserve">LOPEZ SANCHEZ ARTURO                              </t>
  </si>
  <si>
    <t>61978012294</t>
  </si>
  <si>
    <t xml:space="preserve">MU#OZ VAZQUEZ JOSE JUAN                           </t>
  </si>
  <si>
    <t>61078204353</t>
  </si>
  <si>
    <t xml:space="preserve">RAYON SAN JUAN ANDRES                             </t>
  </si>
  <si>
    <t>45877383617</t>
  </si>
  <si>
    <t xml:space="preserve">SANCHEZ ROJAS ANTONIO                             </t>
  </si>
  <si>
    <t>13119260100</t>
  </si>
  <si>
    <t xml:space="preserve">BORGES BRISE#O DIANA                              </t>
  </si>
  <si>
    <t>48128909644</t>
  </si>
  <si>
    <t xml:space="preserve">GARCIA CANCINO MONICA ANA KAREN                   </t>
  </si>
  <si>
    <t xml:space="preserve">MALDONADO MARTINEZ GERSON                         </t>
  </si>
  <si>
    <t>No.</t>
  </si>
  <si>
    <t>PROVISION GENERAL MENSUAL DE IMSS</t>
  </si>
  <si>
    <t>OPERATIVOS</t>
  </si>
  <si>
    <t>GESTORES</t>
  </si>
  <si>
    <t>ADMON</t>
  </si>
  <si>
    <t>COORDONADORAS</t>
  </si>
  <si>
    <t>GERENTES</t>
  </si>
  <si>
    <t>GERENTES SUCURSAL</t>
  </si>
  <si>
    <t>COCINA Y PISO</t>
  </si>
  <si>
    <t>CAJAS/HOSTESS/ALM</t>
  </si>
  <si>
    <t>GERENTE/CAPITAN</t>
  </si>
  <si>
    <t>COCINA/PISO</t>
  </si>
  <si>
    <t>HOSTES/CAJA</t>
  </si>
  <si>
    <t>GERENTE</t>
  </si>
  <si>
    <t>ADMINISTRATIVOS</t>
  </si>
  <si>
    <t>GERENTES CORPO</t>
  </si>
  <si>
    <t>PLANTILLA TOTAL  20.06.2025</t>
  </si>
  <si>
    <t>TOTAL OPERATIVOS</t>
  </si>
  <si>
    <t>%</t>
  </si>
  <si>
    <t>TOTAL ADMON</t>
  </si>
  <si>
    <t>TOTAL GERENTES</t>
  </si>
  <si>
    <t xml:space="preserve">MENSUAL </t>
  </si>
  <si>
    <t>BIMESTRAL</t>
  </si>
  <si>
    <t>DICIEMBRE</t>
  </si>
  <si>
    <t>NOVIEMBRE</t>
  </si>
  <si>
    <t>OCTUBRE</t>
  </si>
  <si>
    <t>SEPTIEMBRE</t>
  </si>
  <si>
    <t>AGOSTO</t>
  </si>
  <si>
    <t>JULIO</t>
  </si>
  <si>
    <t>JUNIO</t>
  </si>
  <si>
    <t>MAYO</t>
  </si>
  <si>
    <t>ABRIL</t>
  </si>
  <si>
    <t>MARZO</t>
  </si>
  <si>
    <t>FEBRERO</t>
  </si>
  <si>
    <t>ENERO</t>
  </si>
  <si>
    <t>FECHA</t>
  </si>
  <si>
    <t>INFONAVIT</t>
  </si>
  <si>
    <t>IMSS</t>
  </si>
  <si>
    <t xml:space="preserve">SAN LUIS </t>
  </si>
  <si>
    <t xml:space="preserve">CARBAJAL GUTIERREZ SANDRA IVETTE                  </t>
  </si>
  <si>
    <t xml:space="preserve">CARRIOLA PE#A HUGO CESAR                          </t>
  </si>
  <si>
    <t>15118801560</t>
  </si>
  <si>
    <t xml:space="preserve">DIAZ SANTANA HECTOR EMMANUEL                      </t>
  </si>
  <si>
    <t>61119012062</t>
  </si>
  <si>
    <t xml:space="preserve">FIBELA BAEZ JUAN CARLOS                           </t>
  </si>
  <si>
    <t>86169854618</t>
  </si>
  <si>
    <t xml:space="preserve">GARCIA SANCHEZ JAFET JOSAFAT                      </t>
  </si>
  <si>
    <t>03178993386</t>
  </si>
  <si>
    <t xml:space="preserve">GUTIERREZ SALGADO FELIPE MIGUEL                   </t>
  </si>
  <si>
    <t xml:space="preserve">HERNANDEZ DELGADO OMAR                            </t>
  </si>
  <si>
    <t xml:space="preserve">LOPEZ RODRIGUEZ JORGE LUIS                        </t>
  </si>
  <si>
    <t xml:space="preserve">LOPEZ ROSAS TITO IVAN                             </t>
  </si>
  <si>
    <t xml:space="preserve">MENDOZA RENTERAL SIXTO ALBERTO                    </t>
  </si>
  <si>
    <t>62169257326</t>
  </si>
  <si>
    <t xml:space="preserve">MU#OZ SANCHEZ OMAR                                </t>
  </si>
  <si>
    <t xml:space="preserve">PAEZ SALAZAR EDWIN                                </t>
  </si>
  <si>
    <t xml:space="preserve">PIOQUINTO VEGA VICTOR HUGO                        </t>
  </si>
  <si>
    <t>27170015260</t>
  </si>
  <si>
    <t xml:space="preserve">ZETINA AKE CLAUDIA IVETTE                         </t>
  </si>
  <si>
    <t>CHAIDEZ MAYTORENA  ANA SOFIA</t>
  </si>
  <si>
    <t>GAMBOA CANO DAVID</t>
  </si>
  <si>
    <t>CADENA VELASQUEZ JESUS ADRIAN</t>
  </si>
  <si>
    <t>ALONSO ARELLANO  MARTHA ERIKA</t>
  </si>
  <si>
    <t>AVILA HERNANDEZ MAYRA ROSARIO</t>
  </si>
  <si>
    <t>GASCA RIVADENEYRA SERGIO</t>
  </si>
  <si>
    <t xml:space="preserve">CORTES VAZQUEZ ADRIANA YADIRA </t>
  </si>
  <si>
    <t>CUOTA MENSUAL POR SUCURSAL</t>
  </si>
  <si>
    <t xml:space="preserve"> CAZARES ROBLES TERESA DE JESUS</t>
  </si>
  <si>
    <t>JOSE EDUARDO AVELAR MORALES</t>
  </si>
  <si>
    <t xml:space="preserve">AGUILAR BARRERA LUIS ALBERTO            </t>
  </si>
  <si>
    <t>DIEGO FERNANDO CHAVARRIA CARRANCO</t>
  </si>
  <si>
    <t>SOTO HEREDIA RAUL</t>
  </si>
  <si>
    <t xml:space="preserve">AGUILAR BARRERA LUIS ALBERTO                      </t>
  </si>
  <si>
    <t xml:space="preserve">ALARCON RIOS MARIA ISABEL                         </t>
  </si>
  <si>
    <t xml:space="preserve">ALONSO ARELLANO MARTHA ERIKA                      </t>
  </si>
  <si>
    <t xml:space="preserve">AVELAR MORALES JOSE EDUARDO                       </t>
  </si>
  <si>
    <t xml:space="preserve">AVILA HERNANDEZ MAYRA ROSARIO                     </t>
  </si>
  <si>
    <t xml:space="preserve">CADENA VELASQUEZ JESUS ADRIAN                     </t>
  </si>
  <si>
    <t xml:space="preserve">CAZARES ROBLES TERESA DE JESUS                    </t>
  </si>
  <si>
    <t xml:space="preserve">CHAIDEZ MAYTORENA ANA SOFIA                       </t>
  </si>
  <si>
    <t xml:space="preserve">CHAVARRIA CARRANCO DIEGO FERNANDO                 </t>
  </si>
  <si>
    <t xml:space="preserve">CORTES VAZQUEZ ADRIANA YADIRA                     </t>
  </si>
  <si>
    <t xml:space="preserve">GAMBOA CANO DAVID                                 </t>
  </si>
  <si>
    <t xml:space="preserve">GASCA RIVADENEYRA SERGIO                          </t>
  </si>
  <si>
    <t xml:space="preserve">HERNANDEZ ORTIZ JOSE MIGUEL                       </t>
  </si>
  <si>
    <t xml:space="preserve">LOPEZ CORTES MARIA FLOR                           </t>
  </si>
  <si>
    <t xml:space="preserve">PEREZ PEREZ TOMAS                                 </t>
  </si>
  <si>
    <t xml:space="preserve">SOTO HEREDIA RAUL                                 </t>
  </si>
  <si>
    <t xml:space="preserve">TREJO TECUAPACHO MIGUEL ANGEL                     </t>
  </si>
  <si>
    <t>ALARCON RIOS MARIA ISABEL</t>
  </si>
  <si>
    <t>CAZARES ROBLES TERESA DE JESUS</t>
  </si>
  <si>
    <t>TREJO TECUAPACHO MIGUEL ANGEL</t>
  </si>
  <si>
    <t>alta</t>
  </si>
  <si>
    <t>baja</t>
  </si>
  <si>
    <t>Miaca</t>
  </si>
  <si>
    <t>TULANCINGO</t>
  </si>
  <si>
    <t>-</t>
  </si>
  <si>
    <t>1/NOV/2025</t>
  </si>
  <si>
    <t>17/NOV/2025</t>
  </si>
  <si>
    <t>10/NOV/2025</t>
  </si>
  <si>
    <t>61098701347</t>
  </si>
  <si>
    <t>13088406940</t>
  </si>
  <si>
    <t>01219221726</t>
  </si>
  <si>
    <t>LIBREROS SANDOVAL ANGELICA</t>
  </si>
  <si>
    <t xml:space="preserve">OCAMPO NIETO MONICA </t>
  </si>
  <si>
    <t xml:space="preserve"> RODRIGUEZ CAMPOS MERCEDES</t>
  </si>
  <si>
    <t>JORGE IVAN FUENTES PASTRANA</t>
  </si>
  <si>
    <t xml:space="preserve">LOZADA GUILLEN JESUS </t>
  </si>
  <si>
    <t>RODRIGUEZ MARTINEZ JULIO</t>
  </si>
  <si>
    <t xml:space="preserve">NAVARRO PONCIANO DAVID </t>
  </si>
  <si>
    <t>CHAVARRIA CARRANCO DIEGO FERNANDO</t>
  </si>
  <si>
    <t>MARTINEZ ZUÑIGA HESIQUIO</t>
  </si>
  <si>
    <t xml:space="preserve">ROSARIO AVILA HERNANDEZ MAYRA </t>
  </si>
  <si>
    <t>ALBINO REYES VASQUEZ</t>
  </si>
  <si>
    <t>MARLEN RAZO SALDAÑA</t>
  </si>
  <si>
    <t>LUIS ALBERTO CASTAÑEDA GONZALEZ</t>
  </si>
  <si>
    <t>BRYAN ADAMS MEJIA</t>
  </si>
  <si>
    <t>MODESTO OCAMPO GUADALUPE</t>
  </si>
  <si>
    <t>17159515380</t>
  </si>
  <si>
    <t xml:space="preserve">ZAVALETA GASPAR JENNIFER ZULEIMA                  </t>
  </si>
  <si>
    <t>20130085051</t>
  </si>
  <si>
    <t>25160100530</t>
  </si>
  <si>
    <t>ATLACOMULCO</t>
  </si>
  <si>
    <t xml:space="preserve"> LOVERA CASIMIRO LUIS CARLOS</t>
  </si>
  <si>
    <t>IMSS MES DE MAYO  2026</t>
  </si>
  <si>
    <t>DAVID RUIZ SALGADO</t>
  </si>
  <si>
    <t>DEPOSITOS DE CUOTA IMSS SEMANAL 23  2026 POR SUCURSAL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</si>
</sst>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2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0"/>
      <name val="Arial"/>
      <family val="2"/>
    </font>
    <font>
      <sz val="11"/>
      <color rgb="FF1F3864"/>
      <name val="Arial"/>
      <family val="2"/>
    </font>
    <font>
      <b/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1F3864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color rgb="FF00B050"/>
      <name val="Calibri"/>
      <family val="2"/>
      <scheme val="minor"/>
    </font>
    <font>
      <sz val="10"/>
      <name val="Arial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E242EE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0" fillId="3" borderId="0" xfId="0" applyFont="1" applyFill="1" applyAlignment="1">
      <alignment horizontal="center" vertical="center" wrapText="1"/>
    </xf>
    <xf numFmtId="0" fontId="10" fillId="3" borderId="0" xfId="0" applyFont="1" applyFill="1" applyAlignment="1">
      <alignment horizontal="left" vertical="center" wrapText="1"/>
    </xf>
    <xf numFmtId="44" fontId="10" fillId="3" borderId="0" xfId="0" applyNumberFormat="1" applyFont="1" applyFill="1" applyAlignment="1">
      <alignment horizontal="center" vertical="center" wrapText="1"/>
    </xf>
    <xf numFmtId="0" fontId="11" fillId="4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left"/>
    </xf>
    <xf numFmtId="0" fontId="0" fillId="0" borderId="1" xfId="0" applyBorder="1"/>
    <xf numFmtId="44" fontId="0" fillId="0" borderId="1" xfId="0" applyNumberFormat="1" applyBorder="1"/>
    <xf numFmtId="0" fontId="11" fillId="2" borderId="1" xfId="0" applyFont="1" applyFill="1" applyBorder="1" applyAlignment="1">
      <alignment horizontal="center"/>
    </xf>
    <xf numFmtId="0" fontId="0" fillId="2" borderId="1" xfId="0" applyFill="1" applyBorder="1"/>
    <xf numFmtId="0" fontId="11" fillId="0" borderId="1" xfId="0" applyFont="1" applyBorder="1" applyAlignment="1">
      <alignment horizontal="center"/>
    </xf>
    <xf numFmtId="44" fontId="0" fillId="0" borderId="0" xfId="0" applyNumberFormat="1"/>
    <xf numFmtId="0" fontId="0" fillId="5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13" fillId="7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44" fontId="0" fillId="0" borderId="3" xfId="0" applyNumberFormat="1" applyBorder="1"/>
    <xf numFmtId="0" fontId="0" fillId="0" borderId="4" xfId="0" applyBorder="1"/>
    <xf numFmtId="0" fontId="0" fillId="0" borderId="4" xfId="0" applyBorder="1" applyAlignment="1">
      <alignment horizontal="center"/>
    </xf>
    <xf numFmtId="2" fontId="0" fillId="0" borderId="4" xfId="0" applyNumberFormat="1" applyBorder="1"/>
    <xf numFmtId="0" fontId="0" fillId="0" borderId="5" xfId="0" applyBorder="1"/>
    <xf numFmtId="44" fontId="0" fillId="0" borderId="6" xfId="0" applyNumberFormat="1" applyBorder="1"/>
    <xf numFmtId="2" fontId="0" fillId="0" borderId="0" xfId="0" applyNumberFormat="1"/>
    <xf numFmtId="0" fontId="0" fillId="0" borderId="7" xfId="0" applyBorder="1"/>
    <xf numFmtId="44" fontId="0" fillId="0" borderId="8" xfId="0" applyNumberFormat="1" applyBorder="1"/>
    <xf numFmtId="0" fontId="0" fillId="0" borderId="2" xfId="0" applyBorder="1"/>
    <xf numFmtId="0" fontId="0" fillId="9" borderId="2" xfId="0" applyFill="1" applyBorder="1" applyAlignment="1">
      <alignment horizontal="center"/>
    </xf>
    <xf numFmtId="2" fontId="0" fillId="0" borderId="2" xfId="0" applyNumberFormat="1" applyBorder="1"/>
    <xf numFmtId="0" fontId="0" fillId="0" borderId="9" xfId="0" applyBorder="1"/>
    <xf numFmtId="44" fontId="16" fillId="10" borderId="0" xfId="0" applyNumberFormat="1" applyFont="1" applyFill="1"/>
    <xf numFmtId="14" fontId="0" fillId="0" borderId="0" xfId="0" applyNumberFormat="1"/>
    <xf numFmtId="0" fontId="9" fillId="0" borderId="1" xfId="0" applyFont="1" applyBorder="1"/>
    <xf numFmtId="0" fontId="11" fillId="0" borderId="1" xfId="0" applyFont="1" applyBorder="1" applyAlignment="1">
      <alignment horizontal="left"/>
    </xf>
    <xf numFmtId="44" fontId="0" fillId="2" borderId="0" xfId="0" applyNumberFormat="1" applyFill="1"/>
    <xf numFmtId="0" fontId="8" fillId="0" borderId="1" xfId="0" applyFont="1" applyBorder="1"/>
    <xf numFmtId="0" fontId="20" fillId="4" borderId="1" xfId="0" applyFont="1" applyFill="1" applyBorder="1" applyAlignment="1">
      <alignment horizontal="center"/>
    </xf>
    <xf numFmtId="49" fontId="17" fillId="0" borderId="1" xfId="0" applyNumberFormat="1" applyFont="1" applyBorder="1" applyAlignment="1">
      <alignment vertical="center"/>
    </xf>
    <xf numFmtId="0" fontId="17" fillId="0" borderId="1" xfId="0" applyFont="1" applyBorder="1"/>
    <xf numFmtId="0" fontId="17" fillId="0" borderId="1" xfId="0" applyFont="1" applyBorder="1" applyAlignment="1">
      <alignment vertical="center"/>
    </xf>
    <xf numFmtId="0" fontId="18" fillId="2" borderId="1" xfId="0" applyFont="1" applyFill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10" fillId="11" borderId="0" xfId="0" applyFont="1" applyFill="1" applyAlignment="1">
      <alignment horizontal="center" vertical="center" wrapText="1"/>
    </xf>
    <xf numFmtId="0" fontId="10" fillId="11" borderId="0" xfId="0" applyFont="1" applyFill="1" applyAlignment="1">
      <alignment horizontal="left" vertical="center" wrapText="1"/>
    </xf>
    <xf numFmtId="0" fontId="11" fillId="2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17" fillId="0" borderId="0" xfId="0" applyFont="1"/>
    <xf numFmtId="0" fontId="0" fillId="2" borderId="11" xfId="0" applyFill="1" applyBorder="1"/>
    <xf numFmtId="0" fontId="20" fillId="4" borderId="1" xfId="0" applyFont="1" applyFill="1" applyBorder="1" applyAlignment="1">
      <alignment horizontal="left"/>
    </xf>
    <xf numFmtId="0" fontId="20" fillId="4" borderId="0" xfId="0" applyFont="1" applyFill="1" applyAlignment="1">
      <alignment horizontal="center"/>
    </xf>
    <xf numFmtId="0" fontId="20" fillId="4" borderId="0" xfId="0" applyFont="1" applyFill="1" applyAlignment="1">
      <alignment horizontal="left"/>
    </xf>
    <xf numFmtId="44" fontId="0" fillId="12" borderId="0" xfId="0" applyNumberFormat="1" applyFill="1"/>
    <xf numFmtId="0" fontId="11" fillId="4" borderId="1" xfId="0" applyFont="1" applyFill="1" applyBorder="1" applyAlignment="1">
      <alignment horizontal="left"/>
    </xf>
    <xf numFmtId="44" fontId="16" fillId="2" borderId="0" xfId="0" applyNumberFormat="1" applyFont="1" applyFill="1"/>
    <xf numFmtId="0" fontId="0" fillId="14" borderId="0" xfId="0" applyFill="1" applyAlignment="1">
      <alignment horizontal="center" vertical="center"/>
    </xf>
    <xf numFmtId="0" fontId="0" fillId="14" borderId="0" xfId="0" applyFill="1" applyAlignment="1">
      <alignment horizontal="center" vertical="center" wrapText="1"/>
    </xf>
    <xf numFmtId="0" fontId="15" fillId="14" borderId="0" xfId="0" applyFont="1" applyFill="1" applyAlignment="1">
      <alignment horizontal="center"/>
    </xf>
    <xf numFmtId="44" fontId="15" fillId="14" borderId="0" xfId="0" applyNumberFormat="1" applyFont="1" applyFill="1"/>
    <xf numFmtId="0" fontId="12" fillId="0" borderId="0" xfId="0" applyFont="1"/>
    <xf numFmtId="0" fontId="20" fillId="0" borderId="1" xfId="0" applyFont="1" applyBorder="1" applyAlignment="1">
      <alignment horizontal="center"/>
    </xf>
    <xf numFmtId="0" fontId="20" fillId="0" borderId="1" xfId="0" applyFont="1" applyBorder="1" applyAlignment="1">
      <alignment horizontal="left"/>
    </xf>
    <xf numFmtId="0" fontId="12" fillId="0" borderId="1" xfId="0" applyFont="1" applyBorder="1"/>
    <xf numFmtId="0" fontId="12" fillId="0" borderId="1" xfId="0" applyFont="1" applyBorder="1" applyAlignment="1">
      <alignment vertical="center"/>
    </xf>
    <xf numFmtId="0" fontId="11" fillId="15" borderId="1" xfId="0" applyFont="1" applyFill="1" applyBorder="1" applyAlignment="1">
      <alignment horizontal="left"/>
    </xf>
    <xf numFmtId="0" fontId="7" fillId="0" borderId="1" xfId="0" applyFont="1" applyBorder="1"/>
    <xf numFmtId="0" fontId="21" fillId="4" borderId="1" xfId="0" applyFont="1" applyFill="1" applyBorder="1" applyAlignment="1">
      <alignment horizontal="center"/>
    </xf>
    <xf numFmtId="44" fontId="22" fillId="0" borderId="0" xfId="0" applyNumberFormat="1" applyFont="1"/>
    <xf numFmtId="0" fontId="22" fillId="0" borderId="0" xfId="0" applyFont="1"/>
    <xf numFmtId="0" fontId="22" fillId="2" borderId="0" xfId="0" applyFont="1" applyFill="1"/>
    <xf numFmtId="44" fontId="22" fillId="2" borderId="0" xfId="0" applyNumberFormat="1" applyFont="1" applyFill="1"/>
    <xf numFmtId="0" fontId="7" fillId="0" borderId="0" xfId="0" applyFont="1" applyAlignment="1">
      <alignment horizontal="left"/>
    </xf>
    <xf numFmtId="0" fontId="0" fillId="16" borderId="0" xfId="0" applyFill="1" applyAlignment="1">
      <alignment vertical="center"/>
    </xf>
    <xf numFmtId="0" fontId="0" fillId="16" borderId="0" xfId="0" applyFill="1" applyAlignment="1">
      <alignment horizontal="center" vertical="center"/>
    </xf>
    <xf numFmtId="0" fontId="0" fillId="16" borderId="0" xfId="0" applyFill="1" applyAlignment="1">
      <alignment horizontal="center" vertical="center" wrapText="1"/>
    </xf>
    <xf numFmtId="0" fontId="15" fillId="16" borderId="0" xfId="0" applyFont="1" applyFill="1" applyAlignment="1">
      <alignment horizontal="center"/>
    </xf>
    <xf numFmtId="44" fontId="15" fillId="16" borderId="0" xfId="0" applyNumberFormat="1" applyFont="1" applyFill="1"/>
    <xf numFmtId="0" fontId="6" fillId="0" borderId="1" xfId="0" applyFont="1" applyBorder="1"/>
    <xf numFmtId="0" fontId="5" fillId="0" borderId="1" xfId="0" applyFont="1" applyBorder="1"/>
    <xf numFmtId="0" fontId="4" fillId="0" borderId="1" xfId="0" applyFont="1" applyBorder="1"/>
    <xf numFmtId="0" fontId="2" fillId="0" borderId="1" xfId="0" applyFont="1" applyBorder="1"/>
    <xf numFmtId="0" fontId="23" fillId="4" borderId="1" xfId="0" applyFont="1" applyFill="1" applyBorder="1" applyAlignment="1">
      <alignment horizontal="center"/>
    </xf>
    <xf numFmtId="44" fontId="0" fillId="0" borderId="12" xfId="0" applyNumberFormat="1" applyBorder="1"/>
    <xf numFmtId="0" fontId="20" fillId="4" borderId="12" xfId="0" applyFont="1" applyFill="1" applyBorder="1" applyAlignment="1">
      <alignment horizontal="center"/>
    </xf>
    <xf numFmtId="0" fontId="20" fillId="4" borderId="12" xfId="0" applyFont="1" applyFill="1" applyBorder="1" applyAlignment="1">
      <alignment horizontal="left"/>
    </xf>
    <xf numFmtId="0" fontId="11" fillId="4" borderId="0" xfId="0" applyFont="1" applyFill="1" applyAlignment="1">
      <alignment horizontal="left"/>
    </xf>
    <xf numFmtId="0" fontId="18" fillId="2" borderId="0" xfId="0" applyFont="1" applyFill="1" applyAlignment="1">
      <alignment horizontal="left"/>
    </xf>
    <xf numFmtId="0" fontId="8" fillId="0" borderId="10" xfId="0" applyFont="1" applyBorder="1"/>
    <xf numFmtId="0" fontId="3" fillId="0" borderId="11" xfId="0" applyFont="1" applyBorder="1"/>
    <xf numFmtId="0" fontId="23" fillId="4" borderId="1" xfId="0" applyFont="1" applyFill="1" applyBorder="1" applyAlignment="1">
      <alignment horizontal="left"/>
    </xf>
    <xf numFmtId="0" fontId="1" fillId="0" borderId="11" xfId="0" applyFont="1" applyBorder="1"/>
    <xf numFmtId="0" fontId="13" fillId="17" borderId="0" xfId="0" applyFont="1" applyFill="1" applyAlignment="1">
      <alignment horizontal="center"/>
    </xf>
    <xf numFmtId="0" fontId="13" fillId="13" borderId="0" xfId="0" applyFont="1" applyFill="1" applyAlignment="1">
      <alignment horizontal="center"/>
    </xf>
    <xf numFmtId="44" fontId="14" fillId="8" borderId="0" xfId="0" applyNumberFormat="1" applyFont="1" applyFill="1" applyAlignment="1">
      <alignment horizontal="center"/>
    </xf>
    <xf numFmtId="44" fontId="15" fillId="0" borderId="2" xfId="0" applyNumberFormat="1" applyFont="1" applyBorder="1" applyAlignment="1">
      <alignment horizontal="center"/>
    </xf>
    <xf numFmtId="0" fontId="20" fillId="11" borderId="1" xfId="0" applyFont="1" applyFill="1" applyBorder="1" applyAlignment="1">
      <alignment horizontal="center"/>
    </xf>
    <xf numFmtId="0" fontId="20" fillId="11" borderId="1" xfId="0" applyFont="1" applyFill="1" applyBorder="1" applyAlignment="1">
      <alignment horizontal="left"/>
    </xf>
    <xf numFmtId="0" fontId="0" fillId="11" borderId="1" xfId="0" applyFill="1" applyBorder="1"/>
    <xf numFmtId="44" fontId="0" fillId="11" borderId="1" xfId="0" applyNumberFormat="1" applyFill="1" applyBorder="1"/>
    <xf numFmtId="44" fontId="0" fillId="11" borderId="0" xfId="0" applyNumberFormat="1" applyFill="1"/>
    <xf numFmtId="0" fontId="0" fillId="11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242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9</xdr:row>
      <xdr:rowOff>123825</xdr:rowOff>
    </xdr:from>
    <xdr:to>
      <xdr:col>3</xdr:col>
      <xdr:colOff>85725</xdr:colOff>
      <xdr:row>12</xdr:row>
      <xdr:rowOff>13647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6475" y="1781175"/>
          <a:ext cx="2601595" cy="441960"/>
        </a:xfrm>
        <a:prstGeom prst="rect">
          <a:avLst/>
        </a:prstGeom>
      </xdr:spPr>
    </xdr:pic>
    <xdr:clientData/>
  </xdr:twoCellAnchor>
  <xdr:twoCellAnchor editAs="oneCell">
    <xdr:from>
      <xdr:col>1</xdr:col>
      <xdr:colOff>295275</xdr:colOff>
      <xdr:row>0</xdr:row>
      <xdr:rowOff>28575</xdr:rowOff>
    </xdr:from>
    <xdr:to>
      <xdr:col>3</xdr:col>
      <xdr:colOff>209550</xdr:colOff>
      <xdr:row>4</xdr:row>
      <xdr:rowOff>15536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3625" y="28575"/>
          <a:ext cx="2668270" cy="723265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18</xdr:row>
      <xdr:rowOff>142875</xdr:rowOff>
    </xdr:from>
    <xdr:to>
      <xdr:col>3</xdr:col>
      <xdr:colOff>428625</xdr:colOff>
      <xdr:row>23</xdr:row>
      <xdr:rowOff>85725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075" y="3457575"/>
          <a:ext cx="3096895" cy="863600"/>
        </a:xfrm>
        <a:prstGeom prst="rect">
          <a:avLst/>
        </a:prstGeom>
        <a:solidFill>
          <a:schemeClr val="tx1"/>
        </a:solidFill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6"/>
  <sheetViews>
    <sheetView tabSelected="1" topLeftCell="A58" zoomScale="120" zoomScaleNormal="120" workbookViewId="0">
      <selection activeCell="A63" sqref="A63"/>
    </sheetView>
  </sheetViews>
  <sheetFormatPr baseColWidth="10" defaultColWidth="11" defaultRowHeight="15"/>
  <cols>
    <col min="1" max="1" width="15" customWidth="1"/>
    <col min="2" max="2" width="46.28515625" style="2" customWidth="1"/>
    <col min="3" max="3" width="15.28515625" customWidth="1"/>
    <col min="4" max="4" width="16.85546875" customWidth="1"/>
    <col min="5" max="5" width="20.5703125" customWidth="1"/>
    <col min="6" max="6" width="16" customWidth="1"/>
    <col min="7" max="7" width="18.5703125" bestFit="1" customWidth="1"/>
  </cols>
  <sheetData>
    <row r="1" spans="1:7" ht="49.5" customHeight="1">
      <c r="A1" s="4" t="s">
        <v>20</v>
      </c>
      <c r="B1" s="5" t="s">
        <v>0</v>
      </c>
      <c r="C1" s="4" t="s">
        <v>1</v>
      </c>
      <c r="D1" s="6" t="s">
        <v>2</v>
      </c>
      <c r="E1" s="4" t="s">
        <v>3</v>
      </c>
      <c r="F1" s="4" t="s">
        <v>4</v>
      </c>
      <c r="G1" s="4" t="s">
        <v>189</v>
      </c>
    </row>
    <row r="2" spans="1:7">
      <c r="A2" s="7">
        <v>30250725592</v>
      </c>
      <c r="B2" s="8" t="s">
        <v>246</v>
      </c>
      <c r="C2" s="9" t="s">
        <v>245</v>
      </c>
      <c r="D2" s="10">
        <v>3500</v>
      </c>
      <c r="E2" s="10">
        <f t="shared" ref="E2" si="0">D2/4</f>
        <v>875</v>
      </c>
      <c r="F2" s="14">
        <f>E2</f>
        <v>875</v>
      </c>
      <c r="G2" s="71">
        <f>D2</f>
        <v>3500</v>
      </c>
    </row>
    <row r="3" spans="1:7">
      <c r="A3" s="7">
        <v>24169405628</v>
      </c>
      <c r="B3" s="8" t="s">
        <v>183</v>
      </c>
      <c r="C3" s="9" t="s">
        <v>15</v>
      </c>
      <c r="D3" s="10">
        <v>3500</v>
      </c>
      <c r="E3" s="10">
        <f t="shared" ref="E3:E34" si="1">D3/4</f>
        <v>875</v>
      </c>
      <c r="F3" s="14"/>
      <c r="G3" s="72"/>
    </row>
    <row r="4" spans="1:7">
      <c r="A4" s="39" t="s">
        <v>24</v>
      </c>
      <c r="B4" s="53" t="s">
        <v>25</v>
      </c>
      <c r="C4" s="9" t="s">
        <v>15</v>
      </c>
      <c r="D4" s="10">
        <v>3500</v>
      </c>
      <c r="E4" s="10">
        <f t="shared" si="1"/>
        <v>875</v>
      </c>
      <c r="G4" s="72"/>
    </row>
    <row r="5" spans="1:7">
      <c r="A5" s="39" t="s">
        <v>26</v>
      </c>
      <c r="B5" s="53" t="s">
        <v>27</v>
      </c>
      <c r="C5" s="9" t="s">
        <v>15</v>
      </c>
      <c r="D5" s="10">
        <v>3500</v>
      </c>
      <c r="E5" s="10">
        <f t="shared" si="1"/>
        <v>875</v>
      </c>
    </row>
    <row r="6" spans="1:7">
      <c r="A6" s="39">
        <v>48088849228</v>
      </c>
      <c r="B6" s="57" t="s">
        <v>229</v>
      </c>
      <c r="C6" s="9" t="s">
        <v>15</v>
      </c>
      <c r="D6" s="10">
        <v>3500</v>
      </c>
      <c r="E6" s="10">
        <f t="shared" si="1"/>
        <v>875</v>
      </c>
      <c r="F6" s="14">
        <f>SUM(E3:E6)</f>
        <v>3500</v>
      </c>
      <c r="G6" s="71">
        <f>SUM(D3:D6)</f>
        <v>14000</v>
      </c>
    </row>
    <row r="7" spans="1:7">
      <c r="A7" s="39" t="s">
        <v>28</v>
      </c>
      <c r="B7" s="53" t="s">
        <v>29</v>
      </c>
      <c r="C7" s="9" t="s">
        <v>5</v>
      </c>
      <c r="D7" s="10">
        <v>3500</v>
      </c>
      <c r="E7" s="10">
        <f t="shared" si="1"/>
        <v>875</v>
      </c>
      <c r="G7" s="72"/>
    </row>
    <row r="8" spans="1:7">
      <c r="A8" s="39" t="s">
        <v>30</v>
      </c>
      <c r="B8" s="53" t="s">
        <v>31</v>
      </c>
      <c r="C8" s="9" t="s">
        <v>5</v>
      </c>
      <c r="D8" s="10">
        <v>3500</v>
      </c>
      <c r="E8" s="10">
        <f t="shared" si="1"/>
        <v>875</v>
      </c>
      <c r="G8" s="72"/>
    </row>
    <row r="9" spans="1:7">
      <c r="A9" s="39" t="s">
        <v>32</v>
      </c>
      <c r="B9" s="53" t="s">
        <v>33</v>
      </c>
      <c r="C9" s="9" t="s">
        <v>5</v>
      </c>
      <c r="D9" s="10">
        <v>3500</v>
      </c>
      <c r="E9" s="10">
        <f t="shared" si="1"/>
        <v>875</v>
      </c>
      <c r="G9" s="72"/>
    </row>
    <row r="10" spans="1:7">
      <c r="A10" s="39" t="s">
        <v>34</v>
      </c>
      <c r="B10" s="53" t="s">
        <v>35</v>
      </c>
      <c r="C10" s="9" t="s">
        <v>5</v>
      </c>
      <c r="D10" s="10">
        <v>3500</v>
      </c>
      <c r="E10" s="10">
        <f t="shared" si="1"/>
        <v>875</v>
      </c>
    </row>
    <row r="11" spans="1:7">
      <c r="A11" s="39">
        <v>67109221050</v>
      </c>
      <c r="B11" s="57" t="s">
        <v>234</v>
      </c>
      <c r="C11" s="9" t="s">
        <v>5</v>
      </c>
      <c r="D11" s="10">
        <v>3500</v>
      </c>
      <c r="E11" s="10">
        <f t="shared" si="1"/>
        <v>875</v>
      </c>
      <c r="F11" s="14">
        <f>SUM(E7:E11)</f>
        <v>4375</v>
      </c>
      <c r="G11" s="71">
        <f>SUM(D7:D11)</f>
        <v>17500</v>
      </c>
    </row>
    <row r="12" spans="1:7" s="1" customFormat="1">
      <c r="A12" s="39">
        <v>15119326211</v>
      </c>
      <c r="B12" s="53" t="s">
        <v>39</v>
      </c>
      <c r="C12" s="12" t="s">
        <v>37</v>
      </c>
      <c r="D12" s="10">
        <v>3500</v>
      </c>
      <c r="E12" s="10">
        <f>D12/4</f>
        <v>875</v>
      </c>
      <c r="F12"/>
      <c r="G12" s="72"/>
    </row>
    <row r="13" spans="1:7" s="1" customFormat="1">
      <c r="A13" s="39" t="s">
        <v>164</v>
      </c>
      <c r="B13" s="53" t="s">
        <v>165</v>
      </c>
      <c r="C13" s="9" t="s">
        <v>37</v>
      </c>
      <c r="D13" s="10">
        <v>3500</v>
      </c>
      <c r="E13" s="10">
        <f t="shared" si="1"/>
        <v>875</v>
      </c>
      <c r="F13"/>
      <c r="G13" s="72"/>
    </row>
    <row r="14" spans="1:7" s="1" customFormat="1">
      <c r="A14" s="39" t="s">
        <v>40</v>
      </c>
      <c r="B14" s="53" t="s">
        <v>41</v>
      </c>
      <c r="C14" s="12" t="s">
        <v>37</v>
      </c>
      <c r="D14" s="10">
        <v>3500</v>
      </c>
      <c r="E14" s="10">
        <f t="shared" si="1"/>
        <v>875</v>
      </c>
      <c r="F14"/>
      <c r="G14" s="72"/>
    </row>
    <row r="15" spans="1:7" s="1" customFormat="1">
      <c r="A15" s="39" t="s">
        <v>168</v>
      </c>
      <c r="B15" s="53" t="s">
        <v>169</v>
      </c>
      <c r="C15" s="9" t="s">
        <v>37</v>
      </c>
      <c r="D15" s="10">
        <v>3500</v>
      </c>
      <c r="E15" s="10">
        <f t="shared" si="1"/>
        <v>875</v>
      </c>
      <c r="F15"/>
      <c r="G15" s="72"/>
    </row>
    <row r="16" spans="1:7" s="1" customFormat="1">
      <c r="A16" s="39" t="s">
        <v>42</v>
      </c>
      <c r="B16" s="53" t="s">
        <v>43</v>
      </c>
      <c r="C16" s="12" t="s">
        <v>37</v>
      </c>
      <c r="D16" s="10">
        <v>3500</v>
      </c>
      <c r="E16" s="10">
        <f t="shared" si="1"/>
        <v>875</v>
      </c>
      <c r="F16" s="14"/>
      <c r="G16" s="72"/>
    </row>
    <row r="17" spans="1:7" s="1" customFormat="1">
      <c r="A17" s="39" t="s">
        <v>44</v>
      </c>
      <c r="B17" s="53" t="s">
        <v>45</v>
      </c>
      <c r="C17" s="52" t="s">
        <v>37</v>
      </c>
      <c r="D17" s="10">
        <v>3500</v>
      </c>
      <c r="E17" s="10">
        <f t="shared" si="1"/>
        <v>875</v>
      </c>
      <c r="F17"/>
      <c r="G17" s="72"/>
    </row>
    <row r="18" spans="1:7" s="1" customFormat="1">
      <c r="A18" s="39" t="s">
        <v>47</v>
      </c>
      <c r="B18" s="53" t="s">
        <v>48</v>
      </c>
      <c r="C18" s="12" t="s">
        <v>37</v>
      </c>
      <c r="D18" s="10">
        <v>3500</v>
      </c>
      <c r="E18" s="10">
        <f t="shared" si="1"/>
        <v>875</v>
      </c>
      <c r="G18" s="73"/>
    </row>
    <row r="19" spans="1:7" s="1" customFormat="1">
      <c r="A19" s="39">
        <v>60169757162</v>
      </c>
      <c r="B19" s="53" t="s">
        <v>226</v>
      </c>
      <c r="C19" s="12" t="s">
        <v>37</v>
      </c>
      <c r="D19" s="10">
        <v>3500</v>
      </c>
      <c r="E19" s="10">
        <f t="shared" si="1"/>
        <v>875</v>
      </c>
    </row>
    <row r="20" spans="1:7">
      <c r="A20" s="85" t="s">
        <v>241</v>
      </c>
      <c r="B20" s="85" t="s">
        <v>242</v>
      </c>
      <c r="C20" s="9" t="s">
        <v>37</v>
      </c>
      <c r="D20" s="10">
        <v>3500</v>
      </c>
      <c r="E20" s="10">
        <f t="shared" si="1"/>
        <v>875</v>
      </c>
      <c r="F20" s="14">
        <f>SUM(E12:E20)</f>
        <v>7875</v>
      </c>
      <c r="G20" s="71">
        <f>SUM(D12:D20)</f>
        <v>31500</v>
      </c>
    </row>
    <row r="21" spans="1:7">
      <c r="A21" s="39" t="s">
        <v>49</v>
      </c>
      <c r="B21" s="53" t="s">
        <v>50</v>
      </c>
      <c r="C21" s="9" t="s">
        <v>51</v>
      </c>
      <c r="D21" s="10">
        <v>3500</v>
      </c>
      <c r="E21" s="10">
        <f t="shared" si="1"/>
        <v>875</v>
      </c>
    </row>
    <row r="22" spans="1:7">
      <c r="A22" s="39">
        <v>15098604646</v>
      </c>
      <c r="B22" s="57" t="s">
        <v>240</v>
      </c>
      <c r="C22" s="9" t="s">
        <v>51</v>
      </c>
      <c r="D22" s="10">
        <v>3500</v>
      </c>
      <c r="E22" s="10">
        <f t="shared" si="1"/>
        <v>875</v>
      </c>
      <c r="F22" s="37">
        <f>SUM(E21:E22)</f>
        <v>1750</v>
      </c>
      <c r="G22" s="74">
        <f>SUM(D21:D22)</f>
        <v>7000</v>
      </c>
    </row>
    <row r="23" spans="1:7" s="1" customFormat="1">
      <c r="A23" s="39" t="s">
        <v>52</v>
      </c>
      <c r="B23" s="53" t="s">
        <v>53</v>
      </c>
      <c r="C23" s="9" t="s">
        <v>7</v>
      </c>
      <c r="D23" s="10">
        <v>3500</v>
      </c>
      <c r="E23" s="10">
        <f t="shared" si="1"/>
        <v>875</v>
      </c>
      <c r="F23"/>
      <c r="G23" s="72"/>
    </row>
    <row r="24" spans="1:7">
      <c r="A24" s="39" t="s">
        <v>176</v>
      </c>
      <c r="B24" s="53" t="s">
        <v>177</v>
      </c>
      <c r="C24" s="9" t="s">
        <v>7</v>
      </c>
      <c r="D24" s="10">
        <v>3500</v>
      </c>
      <c r="E24" s="10">
        <f t="shared" si="1"/>
        <v>875</v>
      </c>
      <c r="F24" s="37">
        <f>SUM(E23:E24)</f>
        <v>1750</v>
      </c>
      <c r="G24" s="74">
        <f>SUM(D23:D24)</f>
        <v>7000</v>
      </c>
    </row>
    <row r="25" spans="1:7">
      <c r="A25" s="39" t="s">
        <v>55</v>
      </c>
      <c r="B25" s="53" t="s">
        <v>56</v>
      </c>
      <c r="C25" s="44" t="s">
        <v>9</v>
      </c>
      <c r="D25" s="10">
        <v>3500</v>
      </c>
      <c r="E25" s="10">
        <f t="shared" si="1"/>
        <v>875</v>
      </c>
      <c r="G25" s="72"/>
    </row>
    <row r="26" spans="1:7">
      <c r="A26" s="39" t="s">
        <v>57</v>
      </c>
      <c r="B26" s="53" t="s">
        <v>58</v>
      </c>
      <c r="C26" s="9" t="s">
        <v>9</v>
      </c>
      <c r="D26" s="10">
        <v>3500</v>
      </c>
      <c r="E26" s="10">
        <f t="shared" si="1"/>
        <v>875</v>
      </c>
      <c r="F26" s="1"/>
      <c r="G26" s="73"/>
    </row>
    <row r="27" spans="1:7">
      <c r="A27" s="39" t="s">
        <v>170</v>
      </c>
      <c r="B27" s="53" t="s">
        <v>171</v>
      </c>
      <c r="C27" s="9" t="s">
        <v>9</v>
      </c>
      <c r="D27" s="10">
        <v>3500</v>
      </c>
      <c r="E27" s="10">
        <f t="shared" si="1"/>
        <v>875</v>
      </c>
      <c r="G27" s="72"/>
    </row>
    <row r="28" spans="1:7">
      <c r="A28" s="39">
        <v>15079004766</v>
      </c>
      <c r="B28" s="89" t="s">
        <v>233</v>
      </c>
      <c r="C28" s="9" t="s">
        <v>9</v>
      </c>
      <c r="D28" s="10">
        <v>3500</v>
      </c>
      <c r="E28" s="10">
        <f t="shared" si="1"/>
        <v>875</v>
      </c>
    </row>
    <row r="29" spans="1:7">
      <c r="A29" s="70" t="s">
        <v>225</v>
      </c>
      <c r="B29" s="57" t="s">
        <v>208</v>
      </c>
      <c r="C29" s="9" t="s">
        <v>9</v>
      </c>
      <c r="D29" s="10">
        <v>3500</v>
      </c>
      <c r="E29" s="10">
        <f t="shared" si="1"/>
        <v>875</v>
      </c>
    </row>
    <row r="30" spans="1:7">
      <c r="A30" s="70">
        <v>15968139442</v>
      </c>
      <c r="B30" s="57" t="s">
        <v>227</v>
      </c>
      <c r="C30" s="9" t="s">
        <v>9</v>
      </c>
      <c r="D30" s="10">
        <v>3500</v>
      </c>
      <c r="E30" s="10">
        <f t="shared" si="1"/>
        <v>875</v>
      </c>
    </row>
    <row r="31" spans="1:7">
      <c r="A31" s="70">
        <v>6169678130</v>
      </c>
      <c r="B31" s="57" t="s">
        <v>232</v>
      </c>
      <c r="C31" s="82" t="s">
        <v>9</v>
      </c>
      <c r="D31" s="10">
        <v>3500</v>
      </c>
      <c r="E31" s="10">
        <f t="shared" si="1"/>
        <v>875</v>
      </c>
    </row>
    <row r="32" spans="1:7">
      <c r="A32" s="85" t="s">
        <v>244</v>
      </c>
      <c r="B32" s="93" t="s">
        <v>198</v>
      </c>
      <c r="C32" s="9" t="s">
        <v>9</v>
      </c>
      <c r="D32" s="10">
        <v>3500</v>
      </c>
      <c r="E32" s="10">
        <f t="shared" si="1"/>
        <v>875</v>
      </c>
      <c r="F32" s="14">
        <f>SUM(E25:E32)</f>
        <v>7000</v>
      </c>
      <c r="G32" s="14">
        <f>SUM(D25:D32)</f>
        <v>28000</v>
      </c>
    </row>
    <row r="33" spans="1:7">
      <c r="A33" s="39" t="s">
        <v>60</v>
      </c>
      <c r="B33" s="53" t="s">
        <v>61</v>
      </c>
      <c r="C33" s="9" t="s">
        <v>10</v>
      </c>
      <c r="D33" s="10">
        <v>3500</v>
      </c>
      <c r="E33" s="10">
        <f t="shared" si="1"/>
        <v>875</v>
      </c>
      <c r="F33" s="14"/>
      <c r="G33" s="71"/>
    </row>
    <row r="34" spans="1:7">
      <c r="A34" s="39" t="s">
        <v>62</v>
      </c>
      <c r="B34" s="53" t="s">
        <v>63</v>
      </c>
      <c r="C34" s="9" t="s">
        <v>10</v>
      </c>
      <c r="D34" s="10">
        <v>3500</v>
      </c>
      <c r="E34" s="10">
        <f t="shared" si="1"/>
        <v>875</v>
      </c>
      <c r="G34" s="72"/>
    </row>
    <row r="35" spans="1:7">
      <c r="A35" s="13">
        <v>67068738409</v>
      </c>
      <c r="B35" s="36" t="s">
        <v>184</v>
      </c>
      <c r="C35" s="9" t="s">
        <v>10</v>
      </c>
      <c r="D35" s="10">
        <v>3500</v>
      </c>
      <c r="E35" s="10">
        <f t="shared" ref="E35:E67" si="2">D35/4</f>
        <v>875</v>
      </c>
      <c r="G35" s="72"/>
    </row>
    <row r="36" spans="1:7">
      <c r="A36" s="39" t="s">
        <v>66</v>
      </c>
      <c r="B36" s="53" t="s">
        <v>67</v>
      </c>
      <c r="C36" s="9" t="s">
        <v>10</v>
      </c>
      <c r="D36" s="10">
        <v>3500</v>
      </c>
      <c r="E36" s="10">
        <f t="shared" si="2"/>
        <v>875</v>
      </c>
      <c r="G36" s="72"/>
    </row>
    <row r="37" spans="1:7">
      <c r="A37" s="39" t="s">
        <v>68</v>
      </c>
      <c r="B37" s="53" t="s">
        <v>69</v>
      </c>
      <c r="C37" s="9" t="s">
        <v>10</v>
      </c>
      <c r="D37" s="10">
        <v>3500</v>
      </c>
      <c r="E37" s="10">
        <f t="shared" si="2"/>
        <v>875</v>
      </c>
      <c r="G37" s="72"/>
    </row>
    <row r="38" spans="1:7">
      <c r="A38" s="39" t="s">
        <v>70</v>
      </c>
      <c r="B38" s="53" t="s">
        <v>71</v>
      </c>
      <c r="C38" s="9" t="s">
        <v>10</v>
      </c>
      <c r="D38" s="10">
        <v>3500</v>
      </c>
      <c r="E38" s="10">
        <f t="shared" si="2"/>
        <v>875</v>
      </c>
      <c r="G38" s="72"/>
    </row>
    <row r="39" spans="1:7">
      <c r="A39" s="39" t="s">
        <v>72</v>
      </c>
      <c r="B39" s="53" t="s">
        <v>73</v>
      </c>
      <c r="C39" s="9" t="s">
        <v>10</v>
      </c>
      <c r="D39" s="10">
        <v>3500</v>
      </c>
      <c r="E39" s="10">
        <f t="shared" si="2"/>
        <v>875</v>
      </c>
      <c r="F39" s="14"/>
      <c r="G39" s="71"/>
    </row>
    <row r="40" spans="1:7">
      <c r="A40" s="39" t="s">
        <v>74</v>
      </c>
      <c r="B40" s="53" t="s">
        <v>75</v>
      </c>
      <c r="C40" s="9" t="s">
        <v>10</v>
      </c>
      <c r="D40" s="10">
        <v>3500</v>
      </c>
      <c r="E40" s="10">
        <f t="shared" si="2"/>
        <v>875</v>
      </c>
      <c r="G40" s="72"/>
    </row>
    <row r="41" spans="1:7">
      <c r="A41" s="39" t="s">
        <v>76</v>
      </c>
      <c r="B41" s="53" t="s">
        <v>77</v>
      </c>
      <c r="C41" s="9" t="s">
        <v>10</v>
      </c>
      <c r="D41" s="10">
        <v>3500</v>
      </c>
      <c r="E41" s="10">
        <f t="shared" si="2"/>
        <v>875</v>
      </c>
      <c r="G41" s="72"/>
    </row>
    <row r="42" spans="1:7">
      <c r="A42" s="39" t="s">
        <v>78</v>
      </c>
      <c r="B42" s="53" t="s">
        <v>79</v>
      </c>
      <c r="C42" s="9" t="s">
        <v>10</v>
      </c>
      <c r="D42" s="10">
        <v>3500</v>
      </c>
      <c r="E42" s="10">
        <f t="shared" si="2"/>
        <v>875</v>
      </c>
      <c r="G42" s="71"/>
    </row>
    <row r="43" spans="1:7">
      <c r="A43" s="39" t="s">
        <v>80</v>
      </c>
      <c r="B43" s="53" t="s">
        <v>81</v>
      </c>
      <c r="C43" s="9" t="s">
        <v>10</v>
      </c>
      <c r="D43" s="10">
        <v>3500</v>
      </c>
      <c r="E43" s="10">
        <f t="shared" si="2"/>
        <v>875</v>
      </c>
      <c r="G43" s="72"/>
    </row>
    <row r="44" spans="1:7">
      <c r="A44" s="39" t="s">
        <v>82</v>
      </c>
      <c r="B44" s="53" t="s">
        <v>83</v>
      </c>
      <c r="C44" s="9" t="s">
        <v>10</v>
      </c>
      <c r="D44" s="10">
        <v>3500</v>
      </c>
      <c r="E44" s="10">
        <f t="shared" si="2"/>
        <v>875</v>
      </c>
      <c r="G44" s="72"/>
    </row>
    <row r="45" spans="1:7">
      <c r="A45" s="39" t="s">
        <v>84</v>
      </c>
      <c r="B45" s="53" t="s">
        <v>85</v>
      </c>
      <c r="C45" s="9" t="s">
        <v>10</v>
      </c>
      <c r="D45" s="10">
        <v>3500</v>
      </c>
      <c r="E45" s="10">
        <f t="shared" si="2"/>
        <v>875</v>
      </c>
      <c r="G45" s="72"/>
    </row>
    <row r="46" spans="1:7">
      <c r="A46" s="39" t="s">
        <v>86</v>
      </c>
      <c r="B46" s="53" t="s">
        <v>87</v>
      </c>
      <c r="C46" s="9" t="s">
        <v>10</v>
      </c>
      <c r="D46" s="10">
        <v>3500</v>
      </c>
      <c r="E46" s="10">
        <f t="shared" si="2"/>
        <v>875</v>
      </c>
      <c r="G46" s="72"/>
    </row>
    <row r="47" spans="1:7">
      <c r="A47" s="39" t="s">
        <v>88</v>
      </c>
      <c r="B47" s="53" t="s">
        <v>89</v>
      </c>
      <c r="C47" s="9" t="s">
        <v>10</v>
      </c>
      <c r="D47" s="10">
        <v>3500</v>
      </c>
      <c r="E47" s="10">
        <f t="shared" si="2"/>
        <v>875</v>
      </c>
      <c r="F47" s="14"/>
      <c r="G47" s="71"/>
    </row>
    <row r="48" spans="1:7">
      <c r="A48" s="39" t="s">
        <v>90</v>
      </c>
      <c r="B48" s="53" t="s">
        <v>91</v>
      </c>
      <c r="C48" s="9" t="s">
        <v>10</v>
      </c>
      <c r="D48" s="10">
        <v>3500</v>
      </c>
      <c r="E48" s="10">
        <f t="shared" si="2"/>
        <v>875</v>
      </c>
    </row>
    <row r="49" spans="1:7">
      <c r="A49" s="39">
        <v>8189905477</v>
      </c>
      <c r="B49" s="57" t="s">
        <v>230</v>
      </c>
      <c r="C49" s="9" t="s">
        <v>10</v>
      </c>
      <c r="D49" s="10">
        <v>3500</v>
      </c>
      <c r="E49" s="10">
        <f t="shared" si="2"/>
        <v>875</v>
      </c>
    </row>
    <row r="50" spans="1:7">
      <c r="A50" s="39">
        <v>67139345960</v>
      </c>
      <c r="B50" s="89" t="s">
        <v>231</v>
      </c>
      <c r="C50" s="9" t="s">
        <v>10</v>
      </c>
      <c r="D50" s="10">
        <v>3500</v>
      </c>
      <c r="E50" s="10">
        <f t="shared" si="2"/>
        <v>875</v>
      </c>
    </row>
    <row r="51" spans="1:7">
      <c r="A51" s="39">
        <v>67008210170</v>
      </c>
      <c r="B51" s="57" t="s">
        <v>236</v>
      </c>
      <c r="C51" s="9" t="s">
        <v>10</v>
      </c>
      <c r="D51" s="10">
        <v>3500</v>
      </c>
      <c r="E51" s="10">
        <f t="shared" si="2"/>
        <v>875</v>
      </c>
    </row>
    <row r="52" spans="1:7">
      <c r="A52" s="39">
        <v>67028335981</v>
      </c>
      <c r="B52" s="57" t="s">
        <v>238</v>
      </c>
      <c r="C52" s="92" t="s">
        <v>10</v>
      </c>
      <c r="D52" s="10">
        <v>3500</v>
      </c>
      <c r="E52" s="10">
        <f t="shared" si="2"/>
        <v>875</v>
      </c>
    </row>
    <row r="53" spans="1:7">
      <c r="A53" s="39">
        <v>67027707016</v>
      </c>
      <c r="B53" s="57" t="s">
        <v>248</v>
      </c>
      <c r="C53" s="94" t="s">
        <v>10</v>
      </c>
      <c r="D53" s="10">
        <v>3501</v>
      </c>
      <c r="E53" s="10">
        <f t="shared" ref="E53" si="3">D53/4</f>
        <v>875.25</v>
      </c>
      <c r="F53" s="14">
        <f>SUM(E33:E53)</f>
        <v>18375.25</v>
      </c>
      <c r="G53" s="71">
        <f>SUM(D33:D52)</f>
        <v>70000</v>
      </c>
    </row>
    <row r="54" spans="1:7">
      <c r="A54" s="39" t="s">
        <v>95</v>
      </c>
      <c r="B54" s="53" t="s">
        <v>96</v>
      </c>
      <c r="C54" s="9" t="s">
        <v>94</v>
      </c>
      <c r="D54" s="10">
        <v>3500</v>
      </c>
      <c r="E54" s="10">
        <f t="shared" si="2"/>
        <v>875</v>
      </c>
      <c r="F54" s="14"/>
      <c r="G54" s="71"/>
    </row>
    <row r="55" spans="1:7">
      <c r="A55" s="39" t="s">
        <v>97</v>
      </c>
      <c r="B55" s="53" t="s">
        <v>98</v>
      </c>
      <c r="C55" s="9" t="s">
        <v>94</v>
      </c>
      <c r="D55" s="10">
        <v>3500</v>
      </c>
      <c r="E55" s="10">
        <f t="shared" si="2"/>
        <v>875</v>
      </c>
      <c r="F55" s="1"/>
      <c r="G55" s="73"/>
    </row>
    <row r="56" spans="1:7">
      <c r="A56" s="39" t="s">
        <v>99</v>
      </c>
      <c r="B56" s="53" t="s">
        <v>100</v>
      </c>
      <c r="C56" s="9" t="s">
        <v>94</v>
      </c>
      <c r="D56" s="10">
        <v>3500</v>
      </c>
      <c r="E56" s="10">
        <f t="shared" si="2"/>
        <v>875</v>
      </c>
      <c r="G56" s="72"/>
    </row>
    <row r="57" spans="1:7">
      <c r="A57" s="54" t="s">
        <v>101</v>
      </c>
      <c r="B57" s="53" t="s">
        <v>102</v>
      </c>
      <c r="C57" s="9" t="s">
        <v>94</v>
      </c>
      <c r="D57" s="10">
        <v>3500</v>
      </c>
      <c r="E57" s="10">
        <f t="shared" si="2"/>
        <v>875</v>
      </c>
      <c r="F57" s="14"/>
      <c r="G57" s="72"/>
    </row>
    <row r="58" spans="1:7">
      <c r="A58" s="54" t="s">
        <v>103</v>
      </c>
      <c r="B58" s="53" t="s">
        <v>104</v>
      </c>
      <c r="C58" s="9" t="s">
        <v>94</v>
      </c>
      <c r="D58" s="10">
        <v>3500</v>
      </c>
      <c r="E58" s="10">
        <f t="shared" si="2"/>
        <v>875</v>
      </c>
      <c r="G58" s="72"/>
    </row>
    <row r="59" spans="1:7">
      <c r="A59" s="39">
        <v>41998123149</v>
      </c>
      <c r="B59" s="90" t="s">
        <v>228</v>
      </c>
      <c r="C59" s="81" t="s">
        <v>94</v>
      </c>
      <c r="D59" s="10">
        <v>3500</v>
      </c>
      <c r="E59" s="10">
        <f t="shared" si="2"/>
        <v>875</v>
      </c>
    </row>
    <row r="60" spans="1:7">
      <c r="A60" s="39">
        <v>41028224289</v>
      </c>
      <c r="B60" s="53" t="s">
        <v>235</v>
      </c>
      <c r="C60" s="83" t="s">
        <v>94</v>
      </c>
      <c r="D60" s="10">
        <v>3500</v>
      </c>
      <c r="E60" s="10">
        <f t="shared" si="2"/>
        <v>875</v>
      </c>
    </row>
    <row r="61" spans="1:7">
      <c r="A61" s="39">
        <v>41129241885</v>
      </c>
      <c r="B61" s="53" t="s">
        <v>239</v>
      </c>
      <c r="C61" s="84" t="s">
        <v>94</v>
      </c>
      <c r="D61" s="10">
        <v>3500</v>
      </c>
      <c r="E61" s="10">
        <f t="shared" si="2"/>
        <v>875</v>
      </c>
    </row>
    <row r="62" spans="1:7">
      <c r="A62" s="39">
        <v>41099104022</v>
      </c>
      <c r="B62" s="43" t="s">
        <v>190</v>
      </c>
      <c r="C62" s="91" t="s">
        <v>161</v>
      </c>
      <c r="D62" s="10">
        <v>3500</v>
      </c>
      <c r="E62" s="10">
        <f t="shared" si="2"/>
        <v>875</v>
      </c>
      <c r="F62" s="14">
        <f>SUM(E54:E62)</f>
        <v>7875</v>
      </c>
      <c r="G62" s="71">
        <f>SUM(D54:D62)</f>
        <v>31500</v>
      </c>
    </row>
    <row r="63" spans="1:7" s="104" customFormat="1">
      <c r="A63" s="99">
        <v>16099035186</v>
      </c>
      <c r="B63" s="100" t="s">
        <v>163</v>
      </c>
      <c r="C63" s="101" t="s">
        <v>105</v>
      </c>
      <c r="D63" s="102">
        <v>3500</v>
      </c>
      <c r="E63" s="102">
        <f t="shared" si="2"/>
        <v>875</v>
      </c>
      <c r="F63" s="103">
        <f>SUM(E63)</f>
        <v>875</v>
      </c>
      <c r="G63" s="103">
        <f>SUM(D63)</f>
        <v>3500</v>
      </c>
    </row>
    <row r="64" spans="1:7">
      <c r="A64" s="39" t="s">
        <v>106</v>
      </c>
      <c r="B64" s="53" t="s">
        <v>107</v>
      </c>
      <c r="C64" s="9" t="s">
        <v>108</v>
      </c>
      <c r="D64" s="10">
        <v>3500</v>
      </c>
      <c r="E64" s="10">
        <f t="shared" si="2"/>
        <v>875</v>
      </c>
      <c r="F64" s="14"/>
      <c r="G64" s="71"/>
    </row>
    <row r="65" spans="1:7">
      <c r="A65" s="39" t="s">
        <v>166</v>
      </c>
      <c r="B65" s="53" t="s">
        <v>167</v>
      </c>
      <c r="C65" s="9" t="s">
        <v>108</v>
      </c>
      <c r="D65" s="10">
        <v>3500</v>
      </c>
      <c r="E65" s="10">
        <f t="shared" si="2"/>
        <v>875</v>
      </c>
      <c r="F65" s="14"/>
      <c r="G65" s="71"/>
    </row>
    <row r="66" spans="1:7">
      <c r="A66" s="39" t="s">
        <v>109</v>
      </c>
      <c r="B66" s="53" t="s">
        <v>110</v>
      </c>
      <c r="C66" s="9" t="s">
        <v>108</v>
      </c>
      <c r="D66" s="10">
        <v>3500</v>
      </c>
      <c r="E66" s="10">
        <f t="shared" si="2"/>
        <v>875</v>
      </c>
      <c r="G66" s="72"/>
    </row>
    <row r="67" spans="1:7">
      <c r="A67" s="39" t="s">
        <v>112</v>
      </c>
      <c r="B67" s="53" t="s">
        <v>113</v>
      </c>
      <c r="C67" s="9" t="s">
        <v>108</v>
      </c>
      <c r="D67" s="10">
        <v>3500</v>
      </c>
      <c r="E67" s="10">
        <f t="shared" si="2"/>
        <v>875</v>
      </c>
      <c r="G67" s="72"/>
    </row>
    <row r="68" spans="1:7">
      <c r="A68" s="39" t="s">
        <v>114</v>
      </c>
      <c r="B68" s="53" t="s">
        <v>115</v>
      </c>
      <c r="C68" s="9" t="s">
        <v>108</v>
      </c>
      <c r="D68" s="10">
        <v>3500</v>
      </c>
      <c r="E68" s="10">
        <f t="shared" ref="E68:E76" si="4">D68/4</f>
        <v>875</v>
      </c>
      <c r="F68" s="14"/>
      <c r="G68" s="71"/>
    </row>
    <row r="69" spans="1:7">
      <c r="A69" s="39" t="s">
        <v>116</v>
      </c>
      <c r="B69" s="53" t="s">
        <v>117</v>
      </c>
      <c r="C69" s="9" t="s">
        <v>108</v>
      </c>
      <c r="D69" s="10">
        <v>3500</v>
      </c>
      <c r="E69" s="10">
        <f t="shared" si="4"/>
        <v>875</v>
      </c>
      <c r="F69" s="14"/>
      <c r="G69" s="72"/>
    </row>
    <row r="70" spans="1:7">
      <c r="A70" s="64" t="s">
        <v>180</v>
      </c>
      <c r="B70" s="65" t="s">
        <v>181</v>
      </c>
      <c r="C70" s="9" t="s">
        <v>108</v>
      </c>
      <c r="D70" s="10">
        <v>3500</v>
      </c>
      <c r="E70" s="10">
        <f t="shared" si="4"/>
        <v>875</v>
      </c>
      <c r="F70" s="14"/>
      <c r="G70" s="71"/>
    </row>
    <row r="71" spans="1:7">
      <c r="A71" s="70" t="s">
        <v>223</v>
      </c>
      <c r="B71" s="57" t="s">
        <v>209</v>
      </c>
      <c r="C71" s="9" t="s">
        <v>108</v>
      </c>
      <c r="D71" s="10">
        <v>3500</v>
      </c>
      <c r="E71" s="10">
        <f t="shared" si="4"/>
        <v>875</v>
      </c>
    </row>
    <row r="72" spans="1:7">
      <c r="A72" s="70">
        <v>61078607605</v>
      </c>
      <c r="B72" s="57" t="s">
        <v>237</v>
      </c>
      <c r="C72" s="9" t="s">
        <v>108</v>
      </c>
      <c r="D72" s="10">
        <v>3500</v>
      </c>
      <c r="E72" s="10">
        <f t="shared" si="4"/>
        <v>875</v>
      </c>
      <c r="F72" s="14">
        <f>SUM(E64:E72)</f>
        <v>7875</v>
      </c>
      <c r="G72" s="71">
        <f>SUM(D64:D72)</f>
        <v>31500</v>
      </c>
    </row>
    <row r="73" spans="1:7">
      <c r="A73" s="87" t="s">
        <v>118</v>
      </c>
      <c r="B73" s="88" t="s">
        <v>119</v>
      </c>
      <c r="C73" s="44" t="s">
        <v>14</v>
      </c>
      <c r="D73" s="86">
        <v>3500</v>
      </c>
      <c r="E73" s="86">
        <f t="shared" si="4"/>
        <v>875</v>
      </c>
      <c r="F73" s="1"/>
      <c r="G73" s="73"/>
    </row>
    <row r="74" spans="1:7">
      <c r="A74" s="39" t="s">
        <v>120</v>
      </c>
      <c r="B74" s="53" t="s">
        <v>121</v>
      </c>
      <c r="C74" s="9" t="s">
        <v>14</v>
      </c>
      <c r="D74" s="10">
        <v>3500</v>
      </c>
      <c r="E74" s="10">
        <f t="shared" si="4"/>
        <v>875</v>
      </c>
    </row>
    <row r="75" spans="1:7">
      <c r="A75" s="85" t="s">
        <v>243</v>
      </c>
      <c r="B75" s="93" t="s">
        <v>195</v>
      </c>
      <c r="C75" s="9" t="s">
        <v>14</v>
      </c>
      <c r="D75" s="10">
        <v>3500</v>
      </c>
      <c r="E75" s="10">
        <f t="shared" si="4"/>
        <v>875</v>
      </c>
      <c r="F75" s="14">
        <f>SUM(E73:E75)</f>
        <v>2625</v>
      </c>
      <c r="G75" s="71">
        <f>SUM(D73:D75)</f>
        <v>10500</v>
      </c>
    </row>
    <row r="76" spans="1:7">
      <c r="A76" s="70" t="s">
        <v>224</v>
      </c>
      <c r="B76" s="57" t="s">
        <v>207</v>
      </c>
      <c r="C76" s="9" t="s">
        <v>218</v>
      </c>
      <c r="D76" s="10">
        <v>3500</v>
      </c>
      <c r="E76" s="10">
        <f t="shared" si="4"/>
        <v>875</v>
      </c>
      <c r="F76" s="14">
        <f>SUM(E76)</f>
        <v>875</v>
      </c>
      <c r="G76" s="71">
        <f>SUM(D76)</f>
        <v>3500</v>
      </c>
    </row>
    <row r="78" spans="1:7">
      <c r="C78" t="s">
        <v>144</v>
      </c>
      <c r="D78" s="56">
        <f>SUM(D2:D77)</f>
        <v>262501</v>
      </c>
      <c r="E78" s="56">
        <f>SUM(E2:E77)</f>
        <v>65625.25</v>
      </c>
      <c r="F78" s="14">
        <f>SUM(F2:F76)</f>
        <v>65625.25</v>
      </c>
      <c r="G78" s="37">
        <f>SUM(G2:G76)</f>
        <v>259000</v>
      </c>
    </row>
    <row r="79" spans="1:7">
      <c r="C79" t="s">
        <v>145</v>
      </c>
      <c r="F79" s="14"/>
      <c r="G79" s="37"/>
    </row>
    <row r="83" spans="1:3">
      <c r="A83" s="95" t="s">
        <v>249</v>
      </c>
      <c r="B83" s="95"/>
      <c r="C83" s="95"/>
    </row>
    <row r="84" spans="1:3" ht="27.75" customHeight="1">
      <c r="A84" s="76" t="s">
        <v>123</v>
      </c>
      <c r="B84" s="77" t="s">
        <v>17</v>
      </c>
      <c r="C84" s="78" t="s">
        <v>18</v>
      </c>
    </row>
    <row r="85" spans="1:3">
      <c r="A85" s="3">
        <v>1</v>
      </c>
      <c r="B85" s="2" t="s">
        <v>19</v>
      </c>
      <c r="C85" s="14">
        <f>SUM(F2)</f>
        <v>875</v>
      </c>
    </row>
    <row r="86" spans="1:3">
      <c r="A86" s="3">
        <v>4</v>
      </c>
      <c r="B86" s="2" t="s">
        <v>15</v>
      </c>
      <c r="C86" s="14">
        <f>SUM(F6)</f>
        <v>3500</v>
      </c>
    </row>
    <row r="87" spans="1:3">
      <c r="A87" s="3">
        <v>5</v>
      </c>
      <c r="B87" s="2" t="s">
        <v>5</v>
      </c>
      <c r="C87" s="14">
        <f>SUM(F11)</f>
        <v>4375</v>
      </c>
    </row>
    <row r="88" spans="1:3">
      <c r="A88" s="3">
        <v>9</v>
      </c>
      <c r="B88" s="2" t="s">
        <v>37</v>
      </c>
      <c r="C88" s="14">
        <f>SUM(F20)</f>
        <v>7875</v>
      </c>
    </row>
    <row r="89" spans="1:3">
      <c r="A89" s="3">
        <v>2</v>
      </c>
      <c r="B89" s="2" t="s">
        <v>6</v>
      </c>
      <c r="C89" s="14">
        <f>SUM(F22)</f>
        <v>1750</v>
      </c>
    </row>
    <row r="90" spans="1:3">
      <c r="A90" s="3">
        <v>2</v>
      </c>
      <c r="B90" s="2" t="s">
        <v>7</v>
      </c>
      <c r="C90" s="14">
        <f>SUM(F24)</f>
        <v>1750</v>
      </c>
    </row>
    <row r="91" spans="1:3">
      <c r="A91" s="3">
        <v>0</v>
      </c>
      <c r="B91" s="2" t="s">
        <v>8</v>
      </c>
      <c r="C91" s="14">
        <f>SUM(I17)</f>
        <v>0</v>
      </c>
    </row>
    <row r="92" spans="1:3">
      <c r="A92" s="3">
        <v>8</v>
      </c>
      <c r="B92" s="2" t="s">
        <v>9</v>
      </c>
      <c r="C92" s="14">
        <f>SUM(F32)</f>
        <v>7000</v>
      </c>
    </row>
    <row r="93" spans="1:3">
      <c r="A93" s="3">
        <v>21</v>
      </c>
      <c r="B93" s="2" t="s">
        <v>10</v>
      </c>
      <c r="C93" s="14">
        <f>SUM(F53)</f>
        <v>18375.25</v>
      </c>
    </row>
    <row r="94" spans="1:3">
      <c r="A94" s="3">
        <v>0</v>
      </c>
      <c r="B94" s="2" t="s">
        <v>16</v>
      </c>
      <c r="C94" s="14">
        <f>K68</f>
        <v>0</v>
      </c>
    </row>
    <row r="95" spans="1:3">
      <c r="A95" s="3">
        <v>9</v>
      </c>
      <c r="B95" s="2" t="s">
        <v>11</v>
      </c>
      <c r="C95" s="14">
        <f>SUM(F62)</f>
        <v>7875</v>
      </c>
    </row>
    <row r="96" spans="1:3">
      <c r="A96" s="3">
        <v>1</v>
      </c>
      <c r="B96" s="2" t="s">
        <v>12</v>
      </c>
      <c r="C96" s="14">
        <f>SUM(F63)</f>
        <v>875</v>
      </c>
    </row>
    <row r="97" spans="1:3">
      <c r="A97" s="3">
        <v>9</v>
      </c>
      <c r="B97" s="2" t="s">
        <v>13</v>
      </c>
      <c r="C97" s="14">
        <f>SUM(F72)</f>
        <v>7875</v>
      </c>
    </row>
    <row r="98" spans="1:3">
      <c r="A98" s="3">
        <v>3</v>
      </c>
      <c r="B98" s="2" t="s">
        <v>14</v>
      </c>
      <c r="C98" s="14">
        <f>SUM(F75)</f>
        <v>2625</v>
      </c>
    </row>
    <row r="99" spans="1:3">
      <c r="A99" s="3">
        <v>1</v>
      </c>
      <c r="B99" s="75" t="s">
        <v>218</v>
      </c>
      <c r="C99" s="14">
        <f>SUM(F76)</f>
        <v>875</v>
      </c>
    </row>
    <row r="100" spans="1:3">
      <c r="A100" s="79">
        <f>SUM(A85:A99)</f>
        <v>75</v>
      </c>
      <c r="C100" s="80">
        <f>SUM(C85:C99)</f>
        <v>65625.25</v>
      </c>
    </row>
    <row r="102" spans="1:3" ht="15.75">
      <c r="B102" s="2" t="s">
        <v>124</v>
      </c>
      <c r="C102" s="33">
        <f>C100*4</f>
        <v>262501</v>
      </c>
    </row>
    <row r="107" spans="1:3">
      <c r="A107" s="96" t="s">
        <v>247</v>
      </c>
      <c r="B107" s="96"/>
      <c r="C107" s="96"/>
    </row>
    <row r="108" spans="1:3" ht="30">
      <c r="A108" s="59" t="s">
        <v>123</v>
      </c>
      <c r="B108" s="59" t="s">
        <v>17</v>
      </c>
      <c r="C108" s="60" t="s">
        <v>18</v>
      </c>
    </row>
    <row r="109" spans="1:3">
      <c r="A109" s="3">
        <v>1</v>
      </c>
      <c r="B109" s="2" t="s">
        <v>19</v>
      </c>
      <c r="C109" s="14">
        <f>SUM(G2)</f>
        <v>3500</v>
      </c>
    </row>
    <row r="110" spans="1:3">
      <c r="A110" s="3">
        <v>4</v>
      </c>
      <c r="B110" s="2" t="s">
        <v>15</v>
      </c>
      <c r="C110" s="14">
        <f>G6</f>
        <v>14000</v>
      </c>
    </row>
    <row r="111" spans="1:3">
      <c r="A111" s="3">
        <v>5</v>
      </c>
      <c r="B111" s="2" t="s">
        <v>5</v>
      </c>
      <c r="C111" s="14">
        <f>G11</f>
        <v>17500</v>
      </c>
    </row>
    <row r="112" spans="1:3">
      <c r="A112" s="3">
        <v>9</v>
      </c>
      <c r="B112" s="2" t="s">
        <v>37</v>
      </c>
      <c r="C112" s="14">
        <f>G20</f>
        <v>31500</v>
      </c>
    </row>
    <row r="113" spans="1:3">
      <c r="A113" s="3">
        <v>2</v>
      </c>
      <c r="B113" s="2" t="s">
        <v>6</v>
      </c>
      <c r="C113" s="14">
        <f>SUM(G22)</f>
        <v>7000</v>
      </c>
    </row>
    <row r="114" spans="1:3">
      <c r="A114" s="3">
        <v>2</v>
      </c>
      <c r="B114" s="2" t="s">
        <v>7</v>
      </c>
      <c r="C114" s="14">
        <f>G24</f>
        <v>7000</v>
      </c>
    </row>
    <row r="115" spans="1:3">
      <c r="A115" s="3">
        <v>0</v>
      </c>
      <c r="B115" s="2" t="s">
        <v>8</v>
      </c>
      <c r="C115" s="14">
        <v>0</v>
      </c>
    </row>
    <row r="116" spans="1:3">
      <c r="A116" s="3">
        <v>8</v>
      </c>
      <c r="B116" s="2" t="s">
        <v>9</v>
      </c>
      <c r="C116" s="14">
        <f>SUM(G32)</f>
        <v>28000</v>
      </c>
    </row>
    <row r="117" spans="1:3">
      <c r="A117" s="3">
        <v>20</v>
      </c>
      <c r="B117" s="2" t="s">
        <v>10</v>
      </c>
      <c r="C117" s="14">
        <f>SUM(G53)</f>
        <v>70000</v>
      </c>
    </row>
    <row r="118" spans="1:3">
      <c r="A118" s="3">
        <v>0</v>
      </c>
      <c r="B118" s="2" t="s">
        <v>16</v>
      </c>
      <c r="C118" s="14">
        <v>0</v>
      </c>
    </row>
    <row r="119" spans="1:3">
      <c r="A119" s="3">
        <v>9</v>
      </c>
      <c r="B119" s="2" t="s">
        <v>11</v>
      </c>
      <c r="C119" s="14">
        <f>SUM(G62)</f>
        <v>31500</v>
      </c>
    </row>
    <row r="120" spans="1:3">
      <c r="A120" s="3">
        <v>1</v>
      </c>
      <c r="B120" s="2" t="s">
        <v>12</v>
      </c>
      <c r="C120" s="14">
        <f>SUM(G63)</f>
        <v>3500</v>
      </c>
    </row>
    <row r="121" spans="1:3">
      <c r="A121" s="3">
        <v>9</v>
      </c>
      <c r="B121" s="2" t="s">
        <v>13</v>
      </c>
      <c r="C121" s="14">
        <f>SUM(G72)</f>
        <v>31500</v>
      </c>
    </row>
    <row r="122" spans="1:3">
      <c r="A122" s="3">
        <v>3</v>
      </c>
      <c r="B122" s="2" t="s">
        <v>14</v>
      </c>
      <c r="C122" s="14">
        <f>SUM(G75)</f>
        <v>10500</v>
      </c>
    </row>
    <row r="123" spans="1:3">
      <c r="A123" s="3">
        <v>1</v>
      </c>
      <c r="B123" s="75" t="s">
        <v>218</v>
      </c>
      <c r="C123" s="14">
        <f>SUM(G76)</f>
        <v>3500</v>
      </c>
    </row>
    <row r="124" spans="1:3">
      <c r="A124" s="61">
        <f>SUM(A109:A123)</f>
        <v>74</v>
      </c>
      <c r="C124" s="62">
        <f>SUM(C109:C123)</f>
        <v>259000</v>
      </c>
    </row>
    <row r="126" spans="1:3" ht="15.75">
      <c r="C126" s="58"/>
    </row>
  </sheetData>
  <autoFilter ref="A1:G1" xr:uid="{00000000-0001-0000-0100-000000000000}">
    <sortState xmlns:xlrd2="http://schemas.microsoft.com/office/spreadsheetml/2017/richdata2" ref="A2:G75">
      <sortCondition ref="C1"/>
    </sortState>
  </autoFilter>
  <mergeCells count="2">
    <mergeCell ref="A83:C83"/>
    <mergeCell ref="A107:C107"/>
  </mergeCells>
  <phoneticPr fontId="19" type="noConversion"/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5:F42"/>
  <sheetViews>
    <sheetView showGridLines="0" workbookViewId="0">
      <selection activeCell="J21" sqref="J21"/>
    </sheetView>
  </sheetViews>
  <sheetFormatPr baseColWidth="10" defaultColWidth="11" defaultRowHeight="15"/>
  <cols>
    <col min="2" max="2" width="19.42578125" customWidth="1"/>
    <col min="3" max="3" width="20" customWidth="1"/>
  </cols>
  <sheetData>
    <row r="5" spans="2:4">
      <c r="B5" s="14" t="s">
        <v>125</v>
      </c>
      <c r="C5" t="s">
        <v>126</v>
      </c>
      <c r="D5" s="3">
        <v>115</v>
      </c>
    </row>
    <row r="6" spans="2:4">
      <c r="B6" s="14" t="s">
        <v>127</v>
      </c>
      <c r="C6" t="s">
        <v>128</v>
      </c>
      <c r="D6" s="3">
        <v>13</v>
      </c>
    </row>
    <row r="7" spans="2:4">
      <c r="B7" s="14" t="s">
        <v>129</v>
      </c>
      <c r="C7" t="s">
        <v>130</v>
      </c>
      <c r="D7" s="3">
        <v>23</v>
      </c>
    </row>
    <row r="8" spans="2:4">
      <c r="B8" s="14"/>
      <c r="D8" s="15">
        <f>SUM(D5:D7)</f>
        <v>151</v>
      </c>
    </row>
    <row r="9" spans="2:4">
      <c r="B9" s="14"/>
      <c r="D9" s="16"/>
    </row>
    <row r="10" spans="2:4">
      <c r="B10" s="14"/>
      <c r="D10" s="16"/>
    </row>
    <row r="11" spans="2:4">
      <c r="B11" s="14"/>
      <c r="D11" s="16"/>
    </row>
    <row r="12" spans="2:4">
      <c r="B12" s="14"/>
      <c r="D12" s="16"/>
    </row>
    <row r="13" spans="2:4">
      <c r="B13" s="14"/>
      <c r="D13" s="16"/>
    </row>
    <row r="14" spans="2:4">
      <c r="B14" s="14" t="s">
        <v>125</v>
      </c>
      <c r="C14" t="s">
        <v>131</v>
      </c>
      <c r="D14" s="3">
        <v>69</v>
      </c>
    </row>
    <row r="15" spans="2:4">
      <c r="B15" s="14" t="s">
        <v>127</v>
      </c>
      <c r="C15" t="s">
        <v>132</v>
      </c>
      <c r="D15" s="3">
        <v>7</v>
      </c>
    </row>
    <row r="16" spans="2:4">
      <c r="B16" s="14" t="s">
        <v>129</v>
      </c>
      <c r="C16" t="s">
        <v>133</v>
      </c>
      <c r="D16" s="3">
        <v>5</v>
      </c>
    </row>
    <row r="17" spans="2:4">
      <c r="B17" s="14"/>
      <c r="D17" s="17">
        <f>SUM(D14:D16)</f>
        <v>81</v>
      </c>
    </row>
    <row r="18" spans="2:4">
      <c r="B18" s="14"/>
      <c r="D18" s="16"/>
    </row>
    <row r="19" spans="2:4">
      <c r="B19" s="14"/>
      <c r="D19" s="16"/>
    </row>
    <row r="20" spans="2:4">
      <c r="B20" s="14"/>
      <c r="D20" s="16"/>
    </row>
    <row r="21" spans="2:4">
      <c r="B21" s="14"/>
      <c r="D21" s="16"/>
    </row>
    <row r="22" spans="2:4">
      <c r="B22" s="14"/>
      <c r="D22" s="16"/>
    </row>
    <row r="23" spans="2:4">
      <c r="B23" s="14"/>
      <c r="D23" s="16"/>
    </row>
    <row r="24" spans="2:4">
      <c r="B24" s="14"/>
      <c r="D24" s="16"/>
    </row>
    <row r="25" spans="2:4">
      <c r="B25" s="14"/>
      <c r="D25" s="16"/>
    </row>
    <row r="26" spans="2:4">
      <c r="B26" s="14" t="s">
        <v>125</v>
      </c>
      <c r="C26" t="s">
        <v>134</v>
      </c>
      <c r="D26" s="3">
        <v>12</v>
      </c>
    </row>
    <row r="27" spans="2:4">
      <c r="B27" s="14" t="s">
        <v>127</v>
      </c>
      <c r="C27" t="s">
        <v>135</v>
      </c>
      <c r="D27" s="3">
        <v>2</v>
      </c>
    </row>
    <row r="28" spans="2:4">
      <c r="B28" s="14" t="s">
        <v>136</v>
      </c>
      <c r="C28" t="s">
        <v>136</v>
      </c>
      <c r="D28" s="3">
        <v>2</v>
      </c>
    </row>
    <row r="29" spans="2:4">
      <c r="B29" s="14"/>
      <c r="D29" s="18">
        <f>SUM(D26:D28)</f>
        <v>16</v>
      </c>
    </row>
    <row r="30" spans="2:4">
      <c r="B30" s="14"/>
      <c r="D30" s="16"/>
    </row>
    <row r="31" spans="2:4">
      <c r="B31" s="14"/>
      <c r="D31" s="16"/>
    </row>
    <row r="32" spans="2:4" ht="21">
      <c r="B32" s="97" t="s">
        <v>37</v>
      </c>
      <c r="C32" s="97"/>
      <c r="D32" s="97"/>
    </row>
    <row r="33" spans="2:6">
      <c r="B33" s="14" t="s">
        <v>127</v>
      </c>
      <c r="C33" t="s">
        <v>137</v>
      </c>
      <c r="D33" s="3">
        <v>27</v>
      </c>
    </row>
    <row r="34" spans="2:6">
      <c r="B34" s="14" t="s">
        <v>129</v>
      </c>
      <c r="C34" t="s">
        <v>138</v>
      </c>
      <c r="D34" s="3">
        <v>8</v>
      </c>
    </row>
    <row r="35" spans="2:6">
      <c r="B35" s="14"/>
      <c r="D35" s="19">
        <f>SUM(D33:D34)</f>
        <v>35</v>
      </c>
    </row>
    <row r="36" spans="2:6">
      <c r="B36" s="14"/>
      <c r="D36" s="3"/>
    </row>
    <row r="37" spans="2:6">
      <c r="B37" s="14"/>
      <c r="D37" s="3"/>
    </row>
    <row r="38" spans="2:6">
      <c r="B38" s="98" t="s">
        <v>139</v>
      </c>
      <c r="C38" s="98"/>
      <c r="D38" s="98"/>
      <c r="E38" s="98"/>
      <c r="F38" s="98"/>
    </row>
    <row r="39" spans="2:6">
      <c r="B39" s="20" t="s">
        <v>140</v>
      </c>
      <c r="C39" s="21"/>
      <c r="D39" s="22">
        <f>D5+D14+D26</f>
        <v>196</v>
      </c>
      <c r="E39" s="23">
        <f>D39*100/D42</f>
        <v>69.25795053003533</v>
      </c>
      <c r="F39" s="24" t="s">
        <v>141</v>
      </c>
    </row>
    <row r="40" spans="2:6">
      <c r="B40" s="25" t="s">
        <v>142</v>
      </c>
      <c r="D40" s="3">
        <f>SUM(D6+D15+D27+D33)</f>
        <v>49</v>
      </c>
      <c r="E40" s="26">
        <f>D40*100/D42</f>
        <v>17.314487632508833</v>
      </c>
      <c r="F40" s="27" t="s">
        <v>141</v>
      </c>
    </row>
    <row r="41" spans="2:6">
      <c r="B41" s="25" t="s">
        <v>143</v>
      </c>
      <c r="D41" s="3">
        <f>SUM(D7+D16+D28+D34)</f>
        <v>38</v>
      </c>
      <c r="E41" s="26">
        <f>D41*100/D42</f>
        <v>13.42756183745583</v>
      </c>
      <c r="F41" s="27" t="s">
        <v>141</v>
      </c>
    </row>
    <row r="42" spans="2:6">
      <c r="B42" s="28"/>
      <c r="C42" s="29"/>
      <c r="D42" s="30">
        <f>SUM(D39:D41)</f>
        <v>283</v>
      </c>
      <c r="E42" s="31">
        <f>SUM(E39:E41)</f>
        <v>99.999999999999986</v>
      </c>
      <c r="F42" s="32" t="s">
        <v>141</v>
      </c>
    </row>
  </sheetData>
  <mergeCells count="2">
    <mergeCell ref="B32:D32"/>
    <mergeCell ref="B38:F38"/>
  </mergeCells>
  <pageMargins left="0.7" right="0.7" top="0.75" bottom="0.75" header="0.3" footer="0.3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88"/>
  <sheetViews>
    <sheetView workbookViewId="0">
      <selection activeCell="D89" sqref="D89"/>
    </sheetView>
  </sheetViews>
  <sheetFormatPr baseColWidth="10" defaultColWidth="11" defaultRowHeight="15"/>
  <cols>
    <col min="1" max="1" width="13" customWidth="1"/>
    <col min="2" max="2" width="51.42578125" style="2" bestFit="1" customWidth="1"/>
    <col min="3" max="3" width="13.7109375" customWidth="1"/>
    <col min="5" max="5" width="13.5703125" bestFit="1" customWidth="1"/>
    <col min="6" max="6" width="50.140625" bestFit="1" customWidth="1"/>
    <col min="7" max="7" width="14.42578125" bestFit="1" customWidth="1"/>
    <col min="9" max="9" width="11" customWidth="1"/>
    <col min="10" max="10" width="45.42578125" style="2" customWidth="1"/>
  </cols>
  <sheetData>
    <row r="1" spans="1:12" ht="12.75" customHeight="1">
      <c r="A1" s="46" t="s">
        <v>20</v>
      </c>
      <c r="B1" s="47" t="s">
        <v>0</v>
      </c>
      <c r="C1" s="46" t="s">
        <v>1</v>
      </c>
      <c r="E1" s="4" t="s">
        <v>20</v>
      </c>
      <c r="F1" s="5" t="s">
        <v>0</v>
      </c>
      <c r="G1" s="4" t="s">
        <v>1</v>
      </c>
    </row>
    <row r="2" spans="1:12">
      <c r="A2" s="7"/>
      <c r="B2" s="53" t="s">
        <v>61</v>
      </c>
      <c r="C2" s="9"/>
      <c r="E2" s="7"/>
      <c r="F2" s="70" t="s">
        <v>61</v>
      </c>
      <c r="G2" s="70">
        <v>4</v>
      </c>
      <c r="H2" s="70">
        <v>9</v>
      </c>
      <c r="I2" s="70" t="s">
        <v>219</v>
      </c>
    </row>
    <row r="3" spans="1:12">
      <c r="A3" s="39"/>
      <c r="B3" s="57" t="s">
        <v>192</v>
      </c>
      <c r="C3" s="9"/>
      <c r="E3" s="7"/>
      <c r="F3" s="70" t="s">
        <v>195</v>
      </c>
      <c r="G3" s="70">
        <v>4</v>
      </c>
      <c r="H3" s="70">
        <v>9</v>
      </c>
      <c r="I3" s="70" t="s">
        <v>219</v>
      </c>
    </row>
    <row r="4" spans="1:12">
      <c r="A4" s="39"/>
      <c r="B4" s="53" t="s">
        <v>63</v>
      </c>
      <c r="C4" s="9"/>
      <c r="E4" s="7"/>
      <c r="F4" s="70" t="s">
        <v>63</v>
      </c>
      <c r="G4" s="70">
        <v>4</v>
      </c>
      <c r="H4" s="70">
        <v>9</v>
      </c>
      <c r="I4" s="70" t="s">
        <v>219</v>
      </c>
    </row>
    <row r="5" spans="1:12" ht="14.25" customHeight="1">
      <c r="A5" s="41"/>
      <c r="B5" s="66" t="s">
        <v>212</v>
      </c>
      <c r="C5" s="12"/>
      <c r="E5" s="7"/>
      <c r="F5" s="70" t="s">
        <v>196</v>
      </c>
      <c r="G5" s="70">
        <v>4</v>
      </c>
      <c r="H5" s="70">
        <v>8</v>
      </c>
      <c r="I5" s="70" t="s">
        <v>220</v>
      </c>
    </row>
    <row r="6" spans="1:12">
      <c r="A6" s="39"/>
      <c r="B6" s="53" t="s">
        <v>64</v>
      </c>
      <c r="C6" s="9"/>
      <c r="E6" s="7"/>
      <c r="F6" s="70" t="s">
        <v>64</v>
      </c>
      <c r="G6" s="70">
        <v>4</v>
      </c>
      <c r="H6" s="70">
        <v>9</v>
      </c>
      <c r="I6" s="70" t="s">
        <v>219</v>
      </c>
    </row>
    <row r="7" spans="1:12">
      <c r="A7" s="39"/>
      <c r="B7" s="8" t="s">
        <v>185</v>
      </c>
      <c r="C7" s="12"/>
      <c r="E7" s="7"/>
      <c r="F7" s="70" t="s">
        <v>197</v>
      </c>
      <c r="G7" s="70">
        <v>4</v>
      </c>
      <c r="H7" s="70">
        <v>9</v>
      </c>
      <c r="I7" s="70" t="s">
        <v>219</v>
      </c>
      <c r="J7" s="57" t="s">
        <v>198</v>
      </c>
      <c r="K7" t="s">
        <v>215</v>
      </c>
      <c r="L7" t="s">
        <v>217</v>
      </c>
    </row>
    <row r="8" spans="1:12">
      <c r="A8" s="39"/>
      <c r="B8" s="53" t="s">
        <v>93</v>
      </c>
      <c r="C8" s="9"/>
      <c r="E8" s="7"/>
      <c r="F8" s="70" t="s">
        <v>93</v>
      </c>
      <c r="G8" s="70">
        <v>4</v>
      </c>
      <c r="H8" s="70">
        <v>9</v>
      </c>
      <c r="I8" s="70" t="s">
        <v>219</v>
      </c>
      <c r="J8" s="57" t="s">
        <v>203</v>
      </c>
      <c r="K8" s="9" t="s">
        <v>215</v>
      </c>
      <c r="L8" t="s">
        <v>217</v>
      </c>
    </row>
    <row r="9" spans="1:12">
      <c r="A9" s="39"/>
      <c r="B9" s="53" t="s">
        <v>96</v>
      </c>
      <c r="C9" s="9"/>
      <c r="E9" s="40"/>
      <c r="F9" s="70" t="s">
        <v>96</v>
      </c>
      <c r="G9" s="70">
        <v>4</v>
      </c>
      <c r="H9" s="70">
        <v>9</v>
      </c>
      <c r="I9" s="70" t="s">
        <v>219</v>
      </c>
      <c r="J9" s="57" t="s">
        <v>207</v>
      </c>
      <c r="K9" s="9" t="s">
        <v>215</v>
      </c>
      <c r="L9" t="s">
        <v>218</v>
      </c>
    </row>
    <row r="10" spans="1:12">
      <c r="A10" s="39"/>
      <c r="B10" s="53" t="s">
        <v>22</v>
      </c>
      <c r="C10" s="44"/>
      <c r="E10" s="11"/>
      <c r="F10" s="70" t="s">
        <v>22</v>
      </c>
      <c r="G10" s="70">
        <v>4</v>
      </c>
      <c r="H10" s="70">
        <v>9</v>
      </c>
      <c r="I10" s="70" t="s">
        <v>219</v>
      </c>
      <c r="J10" s="57" t="s">
        <v>208</v>
      </c>
      <c r="K10" s="9" t="s">
        <v>215</v>
      </c>
      <c r="L10" t="s">
        <v>217</v>
      </c>
    </row>
    <row r="11" spans="1:12">
      <c r="A11" s="39"/>
      <c r="B11" s="43" t="s">
        <v>186</v>
      </c>
      <c r="C11" s="9"/>
      <c r="E11" s="7"/>
      <c r="F11" s="70" t="s">
        <v>198</v>
      </c>
      <c r="G11" s="70">
        <v>4</v>
      </c>
      <c r="H11" s="70">
        <v>9</v>
      </c>
      <c r="I11" s="70" t="s">
        <v>219</v>
      </c>
      <c r="J11" s="68" t="s">
        <v>173</v>
      </c>
      <c r="K11" s="69" t="s">
        <v>216</v>
      </c>
      <c r="L11" t="s">
        <v>217</v>
      </c>
    </row>
    <row r="12" spans="1:12">
      <c r="A12" s="39"/>
      <c r="B12" s="53" t="s">
        <v>36</v>
      </c>
      <c r="C12" s="9"/>
      <c r="E12" s="7"/>
      <c r="F12" s="70" t="s">
        <v>199</v>
      </c>
      <c r="G12" s="70">
        <v>4</v>
      </c>
      <c r="H12" s="70">
        <v>9</v>
      </c>
      <c r="I12" s="70" t="s">
        <v>219</v>
      </c>
      <c r="J12" s="68" t="s">
        <v>92</v>
      </c>
      <c r="K12" s="9" t="s">
        <v>216</v>
      </c>
      <c r="L12" t="s">
        <v>16</v>
      </c>
    </row>
    <row r="13" spans="1:12">
      <c r="A13" s="39"/>
      <c r="B13" s="53" t="s">
        <v>56</v>
      </c>
      <c r="C13" s="12"/>
      <c r="E13" s="7"/>
      <c r="F13" s="70" t="s">
        <v>36</v>
      </c>
      <c r="G13" s="70">
        <v>4</v>
      </c>
      <c r="H13" s="70">
        <v>9</v>
      </c>
      <c r="I13" s="70" t="s">
        <v>219</v>
      </c>
      <c r="J13" s="57" t="s">
        <v>209</v>
      </c>
      <c r="K13" s="9" t="s">
        <v>215</v>
      </c>
      <c r="L13" t="s">
        <v>108</v>
      </c>
    </row>
    <row r="14" spans="1:12">
      <c r="A14" s="39"/>
      <c r="B14" s="53" t="s">
        <v>23</v>
      </c>
      <c r="C14" s="9"/>
      <c r="E14" s="7"/>
      <c r="F14" s="70" t="s">
        <v>56</v>
      </c>
      <c r="G14" s="70">
        <v>4</v>
      </c>
      <c r="H14" s="70">
        <v>9</v>
      </c>
      <c r="I14" s="70" t="s">
        <v>219</v>
      </c>
    </row>
    <row r="15" spans="1:12">
      <c r="A15" s="39"/>
      <c r="B15" s="53" t="s">
        <v>119</v>
      </c>
      <c r="C15" s="9"/>
      <c r="E15" s="7"/>
      <c r="F15" s="70" t="s">
        <v>23</v>
      </c>
      <c r="G15" s="70">
        <v>4</v>
      </c>
      <c r="H15" s="70">
        <v>9</v>
      </c>
      <c r="I15" s="70" t="s">
        <v>219</v>
      </c>
    </row>
    <row r="16" spans="1:12" ht="13.5" customHeight="1">
      <c r="A16" s="7"/>
      <c r="B16" s="53" t="s">
        <v>98</v>
      </c>
      <c r="C16" s="9"/>
      <c r="E16" s="7"/>
      <c r="F16" s="70" t="s">
        <v>119</v>
      </c>
      <c r="G16" s="70">
        <v>4</v>
      </c>
      <c r="H16" s="70">
        <v>9</v>
      </c>
      <c r="I16" s="70" t="s">
        <v>219</v>
      </c>
    </row>
    <row r="17" spans="1:9" ht="14.25" customHeight="1">
      <c r="A17" s="39"/>
      <c r="B17" s="8" t="s">
        <v>184</v>
      </c>
      <c r="C17" s="9"/>
      <c r="E17" s="7"/>
      <c r="F17" s="70" t="s">
        <v>98</v>
      </c>
      <c r="G17" s="70">
        <v>4</v>
      </c>
      <c r="H17" s="70">
        <v>9</v>
      </c>
      <c r="I17" s="70" t="s">
        <v>219</v>
      </c>
    </row>
    <row r="18" spans="1:9">
      <c r="A18" s="39"/>
      <c r="B18" s="53" t="s">
        <v>58</v>
      </c>
      <c r="C18" s="9"/>
      <c r="E18" s="7"/>
      <c r="F18" s="70" t="s">
        <v>200</v>
      </c>
      <c r="G18" s="70">
        <v>4</v>
      </c>
      <c r="H18" s="70">
        <v>9</v>
      </c>
      <c r="I18" s="70" t="s">
        <v>219</v>
      </c>
    </row>
    <row r="19" spans="1:9" ht="13.5" customHeight="1">
      <c r="A19" s="39"/>
      <c r="B19" s="53" t="s">
        <v>162</v>
      </c>
      <c r="C19" s="9"/>
      <c r="E19" s="40"/>
      <c r="F19" s="70" t="s">
        <v>58</v>
      </c>
      <c r="G19" s="70">
        <v>4</v>
      </c>
      <c r="H19" s="70">
        <v>9</v>
      </c>
      <c r="I19" s="70" t="s">
        <v>219</v>
      </c>
    </row>
    <row r="20" spans="1:9">
      <c r="A20" s="39"/>
      <c r="B20" s="53" t="s">
        <v>163</v>
      </c>
      <c r="C20" s="45"/>
      <c r="E20" s="7"/>
      <c r="F20" s="70" t="s">
        <v>162</v>
      </c>
      <c r="G20" s="70">
        <v>4</v>
      </c>
      <c r="H20" s="70">
        <v>9</v>
      </c>
      <c r="I20" s="70" t="s">
        <v>219</v>
      </c>
    </row>
    <row r="21" spans="1:9" ht="14.25" customHeight="1">
      <c r="A21" s="39"/>
      <c r="B21" s="53" t="s">
        <v>38</v>
      </c>
      <c r="C21" s="9"/>
      <c r="E21" s="11"/>
      <c r="F21" s="70" t="s">
        <v>163</v>
      </c>
      <c r="G21" s="70">
        <v>4</v>
      </c>
      <c r="H21" s="70">
        <v>9</v>
      </c>
      <c r="I21" s="70" t="s">
        <v>219</v>
      </c>
    </row>
    <row r="22" spans="1:9">
      <c r="A22" s="39"/>
      <c r="B22" s="63" t="s">
        <v>213</v>
      </c>
      <c r="C22" s="12"/>
      <c r="E22" s="49"/>
      <c r="F22" s="70" t="s">
        <v>38</v>
      </c>
      <c r="G22" s="70">
        <v>4</v>
      </c>
      <c r="H22" s="70">
        <v>9</v>
      </c>
      <c r="I22" s="70" t="s">
        <v>219</v>
      </c>
    </row>
    <row r="23" spans="1:9">
      <c r="A23" s="39"/>
      <c r="B23" s="41" t="s">
        <v>182</v>
      </c>
      <c r="C23" s="9"/>
      <c r="E23" s="51"/>
      <c r="F23" s="70" t="s">
        <v>201</v>
      </c>
      <c r="G23" s="70">
        <v>4</v>
      </c>
      <c r="H23" s="70">
        <v>9</v>
      </c>
      <c r="I23" s="70" t="s">
        <v>219</v>
      </c>
    </row>
    <row r="24" spans="1:9">
      <c r="A24" s="39"/>
      <c r="B24" s="8" t="s">
        <v>188</v>
      </c>
      <c r="C24" s="9"/>
      <c r="F24" s="70" t="s">
        <v>202</v>
      </c>
      <c r="G24" s="70">
        <v>4</v>
      </c>
      <c r="H24" s="70">
        <v>9</v>
      </c>
      <c r="I24" s="70" t="s">
        <v>219</v>
      </c>
    </row>
    <row r="25" spans="1:9">
      <c r="A25" s="39"/>
      <c r="B25" s="53" t="s">
        <v>65</v>
      </c>
      <c r="C25" s="9"/>
      <c r="E25" s="7"/>
      <c r="F25" s="70" t="s">
        <v>203</v>
      </c>
      <c r="G25" s="70">
        <v>4</v>
      </c>
      <c r="H25" s="70">
        <v>9</v>
      </c>
      <c r="I25" s="70" t="s">
        <v>219</v>
      </c>
    </row>
    <row r="26" spans="1:9">
      <c r="A26" s="39"/>
      <c r="B26" s="53" t="s">
        <v>39</v>
      </c>
      <c r="C26" s="9"/>
      <c r="E26" s="11"/>
      <c r="F26" s="70" t="s">
        <v>204</v>
      </c>
      <c r="G26" s="70">
        <v>4</v>
      </c>
      <c r="H26" s="70">
        <v>9</v>
      </c>
      <c r="I26" s="70" t="s">
        <v>219</v>
      </c>
    </row>
    <row r="27" spans="1:9">
      <c r="A27" s="39"/>
      <c r="B27" s="53" t="s">
        <v>165</v>
      </c>
      <c r="C27" s="9"/>
      <c r="E27" s="11"/>
      <c r="F27" s="70" t="s">
        <v>65</v>
      </c>
      <c r="G27" s="70">
        <v>4</v>
      </c>
      <c r="H27" s="70">
        <v>9</v>
      </c>
      <c r="I27" s="70" t="s">
        <v>219</v>
      </c>
    </row>
    <row r="28" spans="1:9">
      <c r="A28" s="11"/>
      <c r="B28" s="53" t="s">
        <v>50</v>
      </c>
      <c r="C28" s="12"/>
      <c r="E28" s="7"/>
      <c r="F28" s="70" t="s">
        <v>39</v>
      </c>
      <c r="G28" s="70">
        <v>4</v>
      </c>
      <c r="H28" s="70">
        <v>9</v>
      </c>
      <c r="I28" s="70" t="s">
        <v>219</v>
      </c>
    </row>
    <row r="29" spans="1:9">
      <c r="A29" s="39"/>
      <c r="B29" s="53" t="s">
        <v>107</v>
      </c>
      <c r="C29" s="9"/>
      <c r="E29" s="7"/>
      <c r="F29" s="70" t="s">
        <v>165</v>
      </c>
      <c r="G29" s="70">
        <v>4</v>
      </c>
      <c r="H29" s="70">
        <v>9</v>
      </c>
      <c r="I29" s="70" t="s">
        <v>219</v>
      </c>
    </row>
    <row r="30" spans="1:9">
      <c r="A30" s="39"/>
      <c r="B30" s="66" t="s">
        <v>193</v>
      </c>
      <c r="C30" s="44"/>
      <c r="E30" s="7"/>
      <c r="F30" s="70" t="s">
        <v>50</v>
      </c>
      <c r="G30" s="70">
        <v>4</v>
      </c>
      <c r="H30" s="70">
        <v>9</v>
      </c>
      <c r="I30" s="70" t="s">
        <v>219</v>
      </c>
    </row>
    <row r="31" spans="1:9">
      <c r="A31" s="39"/>
      <c r="B31" s="53" t="s">
        <v>167</v>
      </c>
      <c r="C31" s="9"/>
      <c r="E31" s="7"/>
      <c r="F31" s="70" t="s">
        <v>107</v>
      </c>
      <c r="G31" s="70">
        <v>4</v>
      </c>
      <c r="H31" s="70">
        <v>9</v>
      </c>
      <c r="I31" s="70" t="s">
        <v>219</v>
      </c>
    </row>
    <row r="32" spans="1:9">
      <c r="A32" s="7"/>
      <c r="B32" s="53" t="s">
        <v>41</v>
      </c>
      <c r="C32" s="9"/>
      <c r="E32" s="11"/>
      <c r="F32" s="70" t="s">
        <v>167</v>
      </c>
      <c r="G32" s="70">
        <v>4</v>
      </c>
      <c r="H32" s="70">
        <v>9</v>
      </c>
      <c r="I32" s="70" t="s">
        <v>219</v>
      </c>
    </row>
    <row r="33" spans="1:9">
      <c r="A33" s="39"/>
      <c r="B33" s="53" t="s">
        <v>110</v>
      </c>
      <c r="C33" s="44"/>
      <c r="E33" s="7"/>
      <c r="F33" s="70" t="s">
        <v>41</v>
      </c>
      <c r="G33" s="70">
        <v>4</v>
      </c>
      <c r="H33" s="70">
        <v>9</v>
      </c>
      <c r="I33" s="70" t="s">
        <v>219</v>
      </c>
    </row>
    <row r="34" spans="1:9" ht="16.5" customHeight="1">
      <c r="A34" s="39"/>
      <c r="B34" s="53" t="s">
        <v>67</v>
      </c>
      <c r="C34" s="9"/>
      <c r="E34" s="7"/>
      <c r="F34" s="70" t="s">
        <v>110</v>
      </c>
      <c r="G34" s="70">
        <v>4</v>
      </c>
      <c r="H34" s="70">
        <v>9</v>
      </c>
      <c r="I34" s="70" t="s">
        <v>219</v>
      </c>
    </row>
    <row r="35" spans="1:9">
      <c r="A35" s="39"/>
      <c r="B35" s="53" t="s">
        <v>53</v>
      </c>
      <c r="C35" s="12"/>
      <c r="E35" s="7"/>
      <c r="F35" s="70" t="s">
        <v>67</v>
      </c>
      <c r="G35" s="70">
        <v>4</v>
      </c>
      <c r="H35" s="70">
        <v>9</v>
      </c>
      <c r="I35" s="70" t="s">
        <v>219</v>
      </c>
    </row>
    <row r="36" spans="1:9" ht="17.25" customHeight="1">
      <c r="A36" s="7"/>
      <c r="B36" s="8" t="s">
        <v>183</v>
      </c>
      <c r="C36" s="9"/>
      <c r="E36" s="7"/>
      <c r="F36" s="70" t="s">
        <v>53</v>
      </c>
      <c r="G36" s="70">
        <v>4</v>
      </c>
      <c r="H36" s="70">
        <v>9</v>
      </c>
      <c r="I36" s="70" t="s">
        <v>219</v>
      </c>
    </row>
    <row r="37" spans="1:9">
      <c r="A37" s="39"/>
      <c r="B37" s="55" t="s">
        <v>121</v>
      </c>
      <c r="C37" s="9"/>
      <c r="E37" s="50"/>
      <c r="F37" s="70" t="s">
        <v>205</v>
      </c>
      <c r="G37" s="70">
        <v>4</v>
      </c>
      <c r="H37" s="70">
        <v>9</v>
      </c>
      <c r="I37" s="70" t="s">
        <v>219</v>
      </c>
    </row>
    <row r="38" spans="1:9">
      <c r="A38" s="39"/>
      <c r="B38" s="53" t="s">
        <v>54</v>
      </c>
      <c r="C38" s="9"/>
      <c r="E38" s="49"/>
      <c r="F38" s="70" t="s">
        <v>121</v>
      </c>
      <c r="G38" s="70">
        <v>4</v>
      </c>
      <c r="H38" s="70">
        <v>9</v>
      </c>
      <c r="I38" s="70" t="s">
        <v>219</v>
      </c>
    </row>
    <row r="39" spans="1:9">
      <c r="A39" s="39"/>
      <c r="B39" s="53" t="s">
        <v>169</v>
      </c>
      <c r="C39" s="9"/>
      <c r="E39" s="41"/>
      <c r="F39" s="70" t="s">
        <v>54</v>
      </c>
      <c r="G39" s="70">
        <v>4</v>
      </c>
      <c r="H39" s="70">
        <v>9</v>
      </c>
      <c r="I39" s="70" t="s">
        <v>219</v>
      </c>
    </row>
    <row r="40" spans="1:9">
      <c r="A40" s="39"/>
      <c r="B40" s="8" t="s">
        <v>187</v>
      </c>
      <c r="E40" s="7"/>
      <c r="F40" s="70" t="s">
        <v>169</v>
      </c>
      <c r="G40" s="70">
        <v>4</v>
      </c>
      <c r="H40" s="70">
        <v>9</v>
      </c>
      <c r="I40" s="70" t="s">
        <v>219</v>
      </c>
    </row>
    <row r="41" spans="1:9">
      <c r="A41" s="39"/>
      <c r="B41" s="53" t="s">
        <v>21</v>
      </c>
      <c r="C41" s="9"/>
      <c r="E41" s="7"/>
      <c r="F41" s="70" t="s">
        <v>206</v>
      </c>
      <c r="G41" s="70">
        <v>4</v>
      </c>
      <c r="H41" s="70">
        <v>9</v>
      </c>
      <c r="I41" s="70" t="s">
        <v>219</v>
      </c>
    </row>
    <row r="42" spans="1:9">
      <c r="A42" s="39"/>
      <c r="B42" s="53" t="s">
        <v>25</v>
      </c>
      <c r="C42" s="9"/>
      <c r="E42" s="7"/>
      <c r="F42" s="70" t="s">
        <v>21</v>
      </c>
      <c r="G42" s="70">
        <v>4</v>
      </c>
      <c r="H42" s="70">
        <v>9</v>
      </c>
      <c r="I42" s="70" t="s">
        <v>219</v>
      </c>
    </row>
    <row r="43" spans="1:9">
      <c r="A43" s="39"/>
      <c r="B43" s="53" t="s">
        <v>171</v>
      </c>
      <c r="C43" s="9"/>
      <c r="E43" s="41"/>
      <c r="F43" s="70" t="s">
        <v>25</v>
      </c>
      <c r="G43" s="70">
        <v>4</v>
      </c>
      <c r="H43" s="70">
        <v>9</v>
      </c>
      <c r="I43" s="70" t="s">
        <v>219</v>
      </c>
    </row>
    <row r="44" spans="1:9">
      <c r="A44" s="39"/>
      <c r="B44" s="53" t="s">
        <v>69</v>
      </c>
      <c r="C44" s="9"/>
      <c r="E44" s="7"/>
      <c r="F44" s="70" t="s">
        <v>171</v>
      </c>
      <c r="G44" s="70">
        <v>4</v>
      </c>
      <c r="H44" s="70">
        <v>9</v>
      </c>
      <c r="I44" s="70" t="s">
        <v>219</v>
      </c>
    </row>
    <row r="45" spans="1:9">
      <c r="A45" s="39"/>
      <c r="B45" s="53" t="s">
        <v>172</v>
      </c>
      <c r="C45" s="12"/>
      <c r="E45" s="7"/>
      <c r="F45" s="70" t="s">
        <v>69</v>
      </c>
      <c r="G45" s="70">
        <v>4</v>
      </c>
      <c r="H45" s="70">
        <v>9</v>
      </c>
      <c r="I45" s="70" t="s">
        <v>219</v>
      </c>
    </row>
    <row r="46" spans="1:9">
      <c r="A46" s="39"/>
      <c r="B46" s="57" t="s">
        <v>207</v>
      </c>
      <c r="C46" s="9" t="s">
        <v>215</v>
      </c>
      <c r="F46" s="70" t="s">
        <v>172</v>
      </c>
      <c r="G46" s="70">
        <v>4</v>
      </c>
      <c r="H46" s="70">
        <v>9</v>
      </c>
      <c r="I46" s="70" t="s">
        <v>219</v>
      </c>
    </row>
    <row r="47" spans="1:9">
      <c r="A47" s="39"/>
      <c r="B47" s="53" t="s">
        <v>71</v>
      </c>
      <c r="C47" s="9"/>
      <c r="E47" s="7"/>
      <c r="F47" s="70" t="s">
        <v>207</v>
      </c>
      <c r="G47" s="70">
        <v>4</v>
      </c>
      <c r="H47" s="70">
        <v>9</v>
      </c>
      <c r="I47" s="70" t="s">
        <v>219</v>
      </c>
    </row>
    <row r="48" spans="1:9">
      <c r="A48" s="39"/>
      <c r="B48" s="53" t="s">
        <v>100</v>
      </c>
      <c r="C48" s="9"/>
      <c r="E48" s="7"/>
      <c r="F48" s="70" t="s">
        <v>71</v>
      </c>
      <c r="G48" s="70">
        <v>4</v>
      </c>
      <c r="H48" s="70">
        <v>9</v>
      </c>
      <c r="I48" s="70" t="s">
        <v>219</v>
      </c>
    </row>
    <row r="49" spans="1:9">
      <c r="A49" s="7"/>
      <c r="B49" s="53" t="s">
        <v>59</v>
      </c>
      <c r="C49" s="9"/>
      <c r="E49" s="7"/>
      <c r="F49" s="70" t="s">
        <v>100</v>
      </c>
      <c r="G49" s="70">
        <v>4</v>
      </c>
      <c r="H49" s="70">
        <v>9</v>
      </c>
      <c r="I49" s="70" t="s">
        <v>219</v>
      </c>
    </row>
    <row r="50" spans="1:9">
      <c r="A50" s="39"/>
      <c r="B50" s="57" t="s">
        <v>191</v>
      </c>
      <c r="C50" s="9"/>
      <c r="E50" s="7"/>
      <c r="F50" s="70" t="s">
        <v>59</v>
      </c>
      <c r="G50" s="70">
        <v>4</v>
      </c>
      <c r="H50" s="70">
        <v>9</v>
      </c>
      <c r="I50" s="70" t="s">
        <v>219</v>
      </c>
    </row>
    <row r="51" spans="1:9">
      <c r="A51" s="39"/>
      <c r="B51" s="53" t="s">
        <v>29</v>
      </c>
      <c r="C51" s="9"/>
      <c r="E51" s="7"/>
      <c r="F51" s="70" t="s">
        <v>29</v>
      </c>
      <c r="G51" s="70">
        <v>4</v>
      </c>
      <c r="H51" s="70">
        <v>9</v>
      </c>
      <c r="I51" s="70" t="s">
        <v>219</v>
      </c>
    </row>
    <row r="52" spans="1:9">
      <c r="A52" s="39"/>
      <c r="B52" s="57" t="s">
        <v>208</v>
      </c>
      <c r="C52" s="9" t="s">
        <v>215</v>
      </c>
      <c r="E52" s="7"/>
      <c r="F52" s="70" t="s">
        <v>208</v>
      </c>
      <c r="G52" s="70">
        <v>4</v>
      </c>
      <c r="H52" s="70">
        <v>9</v>
      </c>
      <c r="I52" s="70" t="s">
        <v>219</v>
      </c>
    </row>
    <row r="53" spans="1:9">
      <c r="A53" s="40"/>
      <c r="B53" s="53" t="s">
        <v>31</v>
      </c>
      <c r="C53" s="38"/>
      <c r="E53" s="7"/>
      <c r="F53" s="70" t="s">
        <v>31</v>
      </c>
      <c r="G53" s="70">
        <v>4</v>
      </c>
      <c r="H53" s="70">
        <v>9</v>
      </c>
      <c r="I53" s="70" t="s">
        <v>219</v>
      </c>
    </row>
    <row r="54" spans="1:9">
      <c r="A54" s="39"/>
      <c r="B54" s="53" t="s">
        <v>27</v>
      </c>
      <c r="C54" s="9"/>
      <c r="E54" s="7"/>
      <c r="F54" s="70" t="s">
        <v>27</v>
      </c>
      <c r="G54" s="70">
        <v>4</v>
      </c>
      <c r="H54" s="70">
        <v>9</v>
      </c>
      <c r="I54" s="70" t="s">
        <v>219</v>
      </c>
    </row>
    <row r="55" spans="1:9">
      <c r="A55" s="39"/>
      <c r="B55" s="53" t="s">
        <v>174</v>
      </c>
      <c r="C55" s="9"/>
      <c r="E55" s="11"/>
      <c r="F55" s="70" t="s">
        <v>174</v>
      </c>
      <c r="G55" s="70">
        <v>4</v>
      </c>
      <c r="H55" s="70">
        <v>9</v>
      </c>
      <c r="I55" s="70" t="s">
        <v>219</v>
      </c>
    </row>
    <row r="56" spans="1:9" ht="15.75" customHeight="1">
      <c r="A56" s="39"/>
      <c r="B56" s="53" t="s">
        <v>111</v>
      </c>
      <c r="C56" s="9"/>
      <c r="E56" s="7"/>
      <c r="F56" s="70" t="s">
        <v>111</v>
      </c>
      <c r="G56" s="70">
        <v>4</v>
      </c>
      <c r="H56" s="70">
        <v>9</v>
      </c>
      <c r="I56" s="70" t="s">
        <v>219</v>
      </c>
    </row>
    <row r="57" spans="1:9">
      <c r="A57" s="39"/>
      <c r="B57" s="53" t="s">
        <v>102</v>
      </c>
      <c r="C57" s="12"/>
      <c r="E57" s="7"/>
      <c r="F57" s="70" t="s">
        <v>102</v>
      </c>
      <c r="G57" s="70">
        <v>4</v>
      </c>
      <c r="H57" s="70">
        <v>9</v>
      </c>
      <c r="I57" s="70" t="s">
        <v>219</v>
      </c>
    </row>
    <row r="58" spans="1:9">
      <c r="A58" s="39"/>
      <c r="B58" s="53" t="s">
        <v>43</v>
      </c>
      <c r="C58" s="35"/>
      <c r="E58" s="7"/>
      <c r="F58" s="70" t="s">
        <v>43</v>
      </c>
      <c r="G58" s="70">
        <v>4</v>
      </c>
      <c r="H58" s="70">
        <v>9</v>
      </c>
      <c r="I58" s="70" t="s">
        <v>219</v>
      </c>
    </row>
    <row r="59" spans="1:9">
      <c r="A59" s="39"/>
      <c r="B59" s="53" t="s">
        <v>122</v>
      </c>
      <c r="C59" s="9"/>
      <c r="E59" s="11"/>
      <c r="F59" s="70" t="s">
        <v>122</v>
      </c>
      <c r="G59" s="70">
        <v>4</v>
      </c>
      <c r="H59" s="70">
        <v>9</v>
      </c>
      <c r="I59" s="70" t="s">
        <v>219</v>
      </c>
    </row>
    <row r="60" spans="1:9">
      <c r="A60" s="39"/>
      <c r="B60" s="53" t="s">
        <v>73</v>
      </c>
      <c r="C60" s="9"/>
      <c r="E60" s="7"/>
      <c r="F60" s="70" t="s">
        <v>73</v>
      </c>
      <c r="G60" s="70">
        <v>4</v>
      </c>
      <c r="H60" s="70">
        <v>9</v>
      </c>
      <c r="I60" s="70" t="s">
        <v>219</v>
      </c>
    </row>
    <row r="61" spans="1:9" ht="14.25" customHeight="1">
      <c r="A61" s="39"/>
      <c r="B61" s="53" t="s">
        <v>45</v>
      </c>
      <c r="C61" s="9"/>
      <c r="E61" s="7"/>
      <c r="F61" s="70" t="s">
        <v>45</v>
      </c>
      <c r="G61" s="70">
        <v>4</v>
      </c>
      <c r="H61" s="70">
        <v>9</v>
      </c>
      <c r="I61" s="70" t="s">
        <v>219</v>
      </c>
    </row>
    <row r="62" spans="1:9">
      <c r="A62" s="39"/>
      <c r="B62" s="53" t="s">
        <v>175</v>
      </c>
      <c r="C62" s="9"/>
      <c r="E62" s="7"/>
      <c r="F62" s="70" t="s">
        <v>175</v>
      </c>
      <c r="G62" s="70">
        <v>4</v>
      </c>
      <c r="H62" s="70">
        <v>9</v>
      </c>
      <c r="I62" s="70" t="s">
        <v>219</v>
      </c>
    </row>
    <row r="63" spans="1:9">
      <c r="A63" s="39"/>
      <c r="B63" s="53" t="s">
        <v>177</v>
      </c>
      <c r="C63" s="44"/>
      <c r="E63" s="11"/>
      <c r="F63" s="70" t="s">
        <v>177</v>
      </c>
      <c r="G63" s="70">
        <v>4</v>
      </c>
      <c r="H63" s="70">
        <v>9</v>
      </c>
      <c r="I63" s="70" t="s">
        <v>219</v>
      </c>
    </row>
    <row r="64" spans="1:9">
      <c r="A64" s="39"/>
      <c r="B64" s="53" t="s">
        <v>113</v>
      </c>
      <c r="C64" s="12"/>
      <c r="E64" s="7"/>
      <c r="F64" s="70" t="s">
        <v>113</v>
      </c>
      <c r="G64" s="70">
        <v>4</v>
      </c>
      <c r="H64" s="70">
        <v>9</v>
      </c>
      <c r="I64" s="70" t="s">
        <v>219</v>
      </c>
    </row>
    <row r="65" spans="1:9">
      <c r="A65" s="39"/>
      <c r="B65" s="57" t="s">
        <v>46</v>
      </c>
      <c r="C65" s="52"/>
      <c r="E65" s="7"/>
      <c r="F65" s="70" t="s">
        <v>46</v>
      </c>
      <c r="G65" s="70">
        <v>4</v>
      </c>
      <c r="H65" s="70">
        <v>9</v>
      </c>
      <c r="I65" s="70" t="s">
        <v>219</v>
      </c>
    </row>
    <row r="66" spans="1:9">
      <c r="A66" s="39"/>
      <c r="B66" s="53" t="s">
        <v>75</v>
      </c>
      <c r="C66" s="9"/>
      <c r="E66" s="11"/>
      <c r="F66" s="70" t="s">
        <v>75</v>
      </c>
      <c r="G66" s="70">
        <v>4</v>
      </c>
      <c r="H66" s="70">
        <v>9</v>
      </c>
      <c r="I66" s="70" t="s">
        <v>219</v>
      </c>
    </row>
    <row r="67" spans="1:9">
      <c r="A67" s="39"/>
      <c r="B67" s="53" t="s">
        <v>33</v>
      </c>
      <c r="C67" s="12"/>
      <c r="E67" s="49"/>
      <c r="F67" s="70" t="s">
        <v>33</v>
      </c>
      <c r="G67" s="70">
        <v>4</v>
      </c>
      <c r="H67" s="70">
        <v>9</v>
      </c>
      <c r="I67" s="70" t="s">
        <v>219</v>
      </c>
    </row>
    <row r="68" spans="1:9">
      <c r="A68" s="39"/>
      <c r="B68" s="55" t="s">
        <v>178</v>
      </c>
      <c r="C68" s="9"/>
      <c r="E68" s="48"/>
      <c r="F68" s="70" t="s">
        <v>178</v>
      </c>
      <c r="G68" s="70">
        <v>4</v>
      </c>
      <c r="H68" s="70">
        <v>9</v>
      </c>
      <c r="I68" s="70" t="s">
        <v>219</v>
      </c>
    </row>
    <row r="69" spans="1:9">
      <c r="A69" s="39"/>
      <c r="B69" s="53" t="s">
        <v>77</v>
      </c>
      <c r="C69" s="35"/>
      <c r="E69" s="50"/>
      <c r="F69" s="70" t="s">
        <v>77</v>
      </c>
      <c r="G69" s="70">
        <v>4</v>
      </c>
      <c r="H69" s="70">
        <v>9</v>
      </c>
      <c r="I69" s="70" t="s">
        <v>219</v>
      </c>
    </row>
    <row r="70" spans="1:9">
      <c r="A70" s="9"/>
      <c r="B70" s="57" t="s">
        <v>209</v>
      </c>
      <c r="C70" s="9" t="s">
        <v>215</v>
      </c>
      <c r="E70" s="39"/>
      <c r="F70" s="70" t="s">
        <v>209</v>
      </c>
      <c r="G70" s="70">
        <v>4</v>
      </c>
      <c r="H70" s="70">
        <v>8</v>
      </c>
      <c r="I70" s="70" t="s">
        <v>221</v>
      </c>
    </row>
    <row r="71" spans="1:9">
      <c r="A71" s="39"/>
      <c r="B71" s="53" t="s">
        <v>179</v>
      </c>
      <c r="C71" s="9"/>
      <c r="E71" s="7"/>
      <c r="F71" s="70" t="s">
        <v>179</v>
      </c>
      <c r="G71" s="70">
        <v>4</v>
      </c>
      <c r="H71" s="70">
        <v>9</v>
      </c>
      <c r="I71" s="70" t="s">
        <v>219</v>
      </c>
    </row>
    <row r="72" spans="1:9">
      <c r="A72" s="39"/>
      <c r="B72" s="53" t="s">
        <v>79</v>
      </c>
      <c r="C72" s="9"/>
      <c r="E72" s="7"/>
      <c r="F72" s="70" t="s">
        <v>79</v>
      </c>
      <c r="G72" s="70">
        <v>4</v>
      </c>
      <c r="H72" s="70">
        <v>9</v>
      </c>
      <c r="I72" s="70" t="s">
        <v>219</v>
      </c>
    </row>
    <row r="73" spans="1:9">
      <c r="A73" s="39"/>
      <c r="B73" s="53" t="s">
        <v>115</v>
      </c>
      <c r="C73" s="9"/>
      <c r="E73" s="11"/>
      <c r="F73" s="70" t="s">
        <v>115</v>
      </c>
      <c r="G73" s="70">
        <v>4</v>
      </c>
      <c r="H73" s="70">
        <v>9</v>
      </c>
      <c r="I73" s="70" t="s">
        <v>219</v>
      </c>
    </row>
    <row r="74" spans="1:9">
      <c r="A74" s="39"/>
      <c r="B74" s="53" t="s">
        <v>81</v>
      </c>
      <c r="C74" s="44"/>
      <c r="E74" s="7"/>
      <c r="F74" s="70" t="s">
        <v>81</v>
      </c>
      <c r="G74" s="70">
        <v>4</v>
      </c>
      <c r="H74" s="70">
        <v>9</v>
      </c>
      <c r="I74" s="70" t="s">
        <v>219</v>
      </c>
    </row>
    <row r="75" spans="1:9">
      <c r="A75" s="39"/>
      <c r="B75" s="53" t="s">
        <v>35</v>
      </c>
      <c r="C75" s="9"/>
      <c r="E75" s="7"/>
      <c r="F75" s="70" t="s">
        <v>35</v>
      </c>
      <c r="G75" s="70">
        <v>4</v>
      </c>
      <c r="H75" s="70">
        <v>9</v>
      </c>
      <c r="I75" s="70" t="s">
        <v>219</v>
      </c>
    </row>
    <row r="76" spans="1:9">
      <c r="A76" s="39"/>
      <c r="B76" s="53" t="s">
        <v>48</v>
      </c>
      <c r="C76" s="9"/>
      <c r="E76" s="49"/>
      <c r="F76" s="70" t="s">
        <v>48</v>
      </c>
      <c r="G76" s="70">
        <v>4</v>
      </c>
      <c r="H76" s="70">
        <v>9</v>
      </c>
      <c r="I76" s="70" t="s">
        <v>219</v>
      </c>
    </row>
    <row r="77" spans="1:9">
      <c r="A77" s="39"/>
      <c r="B77" s="53" t="s">
        <v>83</v>
      </c>
      <c r="C77" s="44"/>
      <c r="E77" s="7"/>
      <c r="F77" s="70" t="s">
        <v>83</v>
      </c>
      <c r="G77" s="70">
        <v>4</v>
      </c>
      <c r="H77" s="70">
        <v>9</v>
      </c>
      <c r="I77" s="70" t="s">
        <v>219</v>
      </c>
    </row>
    <row r="78" spans="1:9">
      <c r="A78" s="39"/>
      <c r="B78" s="53" t="s">
        <v>85</v>
      </c>
      <c r="C78" s="12"/>
      <c r="E78" s="7"/>
      <c r="F78" s="70" t="s">
        <v>85</v>
      </c>
      <c r="G78" s="70">
        <v>4</v>
      </c>
      <c r="H78" s="70">
        <v>9</v>
      </c>
      <c r="I78" s="70" t="s">
        <v>219</v>
      </c>
    </row>
    <row r="79" spans="1:9">
      <c r="A79" s="39"/>
      <c r="B79" s="55" t="s">
        <v>87</v>
      </c>
      <c r="C79" s="9"/>
      <c r="E79" s="7"/>
      <c r="F79" s="70" t="s">
        <v>87</v>
      </c>
      <c r="G79" s="70">
        <v>4</v>
      </c>
      <c r="H79" s="70">
        <v>9</v>
      </c>
      <c r="I79" s="70" t="s">
        <v>219</v>
      </c>
    </row>
    <row r="80" spans="1:9">
      <c r="A80" s="39"/>
      <c r="B80" s="55" t="s">
        <v>117</v>
      </c>
      <c r="C80" s="9"/>
      <c r="E80" s="13"/>
      <c r="F80" s="70" t="s">
        <v>117</v>
      </c>
      <c r="G80" s="70">
        <v>4</v>
      </c>
      <c r="H80" s="70">
        <v>9</v>
      </c>
      <c r="I80" s="70" t="s">
        <v>219</v>
      </c>
    </row>
    <row r="81" spans="1:9">
      <c r="A81" s="39"/>
      <c r="B81" s="53" t="s">
        <v>89</v>
      </c>
      <c r="C81" s="9"/>
      <c r="E81" s="7"/>
      <c r="F81" s="70" t="s">
        <v>89</v>
      </c>
      <c r="G81" s="70">
        <v>4</v>
      </c>
      <c r="H81" s="70">
        <v>9</v>
      </c>
      <c r="I81" s="70" t="s">
        <v>219</v>
      </c>
    </row>
    <row r="82" spans="1:9">
      <c r="A82" s="39"/>
      <c r="B82" s="36" t="s">
        <v>194</v>
      </c>
      <c r="C82" s="9"/>
      <c r="E82" s="7"/>
      <c r="F82" s="70" t="s">
        <v>210</v>
      </c>
      <c r="G82" s="70">
        <v>4</v>
      </c>
      <c r="H82" s="70">
        <v>8</v>
      </c>
      <c r="I82" s="70" t="s">
        <v>222</v>
      </c>
    </row>
    <row r="83" spans="1:9">
      <c r="A83" s="39"/>
      <c r="B83" s="53" t="s">
        <v>104</v>
      </c>
      <c r="C83" s="9"/>
      <c r="E83" s="42"/>
      <c r="F83" s="70" t="s">
        <v>104</v>
      </c>
      <c r="G83" s="70">
        <v>4</v>
      </c>
      <c r="H83" s="70">
        <v>9</v>
      </c>
      <c r="I83" s="70" t="s">
        <v>219</v>
      </c>
    </row>
    <row r="84" spans="1:9">
      <c r="A84" s="39"/>
      <c r="B84" s="67" t="s">
        <v>214</v>
      </c>
      <c r="C84" s="9"/>
      <c r="F84" s="70" t="s">
        <v>211</v>
      </c>
      <c r="G84" s="70">
        <v>4</v>
      </c>
      <c r="H84" s="70">
        <v>9</v>
      </c>
      <c r="I84" s="70" t="s">
        <v>219</v>
      </c>
    </row>
    <row r="85" spans="1:9">
      <c r="A85" s="39"/>
      <c r="B85" s="53" t="s">
        <v>91</v>
      </c>
      <c r="C85" s="9"/>
      <c r="F85" s="70" t="s">
        <v>91</v>
      </c>
      <c r="G85" s="70">
        <v>4</v>
      </c>
      <c r="H85" s="70">
        <v>9</v>
      </c>
      <c r="I85" s="70" t="s">
        <v>219</v>
      </c>
    </row>
    <row r="86" spans="1:9">
      <c r="A86" s="54"/>
      <c r="B86" s="65" t="s">
        <v>181</v>
      </c>
      <c r="C86" s="9"/>
      <c r="F86" s="70" t="s">
        <v>181</v>
      </c>
      <c r="G86" s="70">
        <v>4</v>
      </c>
      <c r="H86" s="70">
        <v>9</v>
      </c>
      <c r="I86" s="70" t="s">
        <v>219</v>
      </c>
    </row>
    <row r="88" spans="1:9">
      <c r="B88" s="2">
        <v>85</v>
      </c>
      <c r="F88">
        <v>85</v>
      </c>
    </row>
  </sheetData>
  <autoFilter ref="A1:C1" xr:uid="{00000000-0001-0000-0300-000000000000}">
    <sortState xmlns:xlrd2="http://schemas.microsoft.com/office/spreadsheetml/2017/richdata2" ref="A2:C86">
      <sortCondition ref="B1"/>
    </sortState>
  </autoFilter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22BBD-A7CB-4820-A37E-6BBA4BB972AA}">
  <dimension ref="A2:F15"/>
  <sheetViews>
    <sheetView workbookViewId="0">
      <selection activeCell="B26" sqref="B26"/>
    </sheetView>
  </sheetViews>
  <sheetFormatPr baseColWidth="10" defaultRowHeight="15"/>
  <sheetData>
    <row r="2" spans="1:6">
      <c r="A2" t="s">
        <v>158</v>
      </c>
      <c r="C2" t="s">
        <v>160</v>
      </c>
      <c r="E2" t="s">
        <v>159</v>
      </c>
      <c r="F2" t="s">
        <v>158</v>
      </c>
    </row>
    <row r="3" spans="1:6">
      <c r="A3" s="34">
        <v>45705</v>
      </c>
      <c r="B3" t="s">
        <v>157</v>
      </c>
      <c r="F3" s="34"/>
    </row>
    <row r="4" spans="1:6">
      <c r="A4" s="34">
        <v>45733</v>
      </c>
      <c r="B4" t="s">
        <v>156</v>
      </c>
      <c r="F4" s="34"/>
    </row>
    <row r="5" spans="1:6">
      <c r="A5" s="34">
        <v>45764</v>
      </c>
      <c r="B5" t="s">
        <v>155</v>
      </c>
      <c r="F5" s="34">
        <v>45733</v>
      </c>
    </row>
    <row r="6" spans="1:6">
      <c r="A6" s="34">
        <v>45794</v>
      </c>
      <c r="B6" t="s">
        <v>154</v>
      </c>
      <c r="F6" s="34"/>
    </row>
    <row r="7" spans="1:6">
      <c r="A7" s="34">
        <v>45825</v>
      </c>
      <c r="B7" t="s">
        <v>153</v>
      </c>
      <c r="F7" s="34">
        <v>45794</v>
      </c>
    </row>
    <row r="8" spans="1:6">
      <c r="A8" s="34">
        <v>45855</v>
      </c>
      <c r="B8" t="s">
        <v>152</v>
      </c>
      <c r="F8" s="34"/>
    </row>
    <row r="9" spans="1:6">
      <c r="A9" s="34">
        <v>45886</v>
      </c>
      <c r="B9" t="s">
        <v>151</v>
      </c>
      <c r="F9" s="34">
        <v>45855</v>
      </c>
    </row>
    <row r="10" spans="1:6">
      <c r="A10" s="34">
        <v>45917</v>
      </c>
      <c r="B10" t="s">
        <v>150</v>
      </c>
      <c r="F10" s="34"/>
    </row>
    <row r="11" spans="1:6">
      <c r="A11" s="34">
        <v>45947</v>
      </c>
      <c r="B11" t="s">
        <v>149</v>
      </c>
      <c r="F11" s="34">
        <v>45917</v>
      </c>
    </row>
    <row r="12" spans="1:6">
      <c r="A12" s="34">
        <v>45978</v>
      </c>
      <c r="B12" t="s">
        <v>148</v>
      </c>
      <c r="F12" s="34"/>
    </row>
    <row r="13" spans="1:6">
      <c r="A13" s="34">
        <v>46008</v>
      </c>
      <c r="B13" t="s">
        <v>147</v>
      </c>
      <c r="F13" s="34">
        <v>45978</v>
      </c>
    </row>
    <row r="14" spans="1:6">
      <c r="A14" s="34">
        <v>46039</v>
      </c>
      <c r="B14" t="s">
        <v>146</v>
      </c>
      <c r="F14" s="34"/>
    </row>
    <row r="15" spans="1:6">
      <c r="F15" s="34">
        <v>45674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ASEGURADOS MR. LANA</vt:lpstr>
      <vt:lpstr>UNIDAD DE NEGOCIO</vt:lpstr>
      <vt:lpstr>IMSS SUCURSALES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Martha Mejia</dc:creator>
  <cp:lastModifiedBy>RH</cp:lastModifiedBy>
  <cp:lastPrinted>2025-09-05T23:39:05Z</cp:lastPrinted>
  <dcterms:created xsi:type="dcterms:W3CDTF">2025-06-02T16:03:00Z</dcterms:created>
  <dcterms:modified xsi:type="dcterms:W3CDTF">2026-06-15T18:19:29Z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EC974F9319CD4FF08BE6C4416B5B88CA_12</vt:lpwstr>
  </property>
  <property fmtid="{D5CDD505-2E9C-101B-9397-08002B2CF9AE}" pid="3" name="KSOProductBuildVer">
    <vt:lpwstr>2058-12.2.0.21931</vt:lpwstr>
  </property>
</Properties>
</file>