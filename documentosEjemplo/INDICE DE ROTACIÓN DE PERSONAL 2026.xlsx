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\SynologyDrive\REPORTES A DIRECCIÓN 2025\OKR TRIMESTRE DICIEMBRE -FEBRERO 2026\"/>
    </mc:Choice>
  </mc:AlternateContent>
  <xr:revisionPtr revIDLastSave="0" documentId="13_ncr:1_{60155F57-323B-40B8-9863-FFB45666F5FE}" xr6:coauthVersionLast="47" xr6:coauthVersionMax="47" xr10:uidLastSave="{00000000-0000-0000-0000-000000000000}"/>
  <bookViews>
    <workbookView xWindow="-120" yWindow="-120" windowWidth="29040" windowHeight="15840" activeTab="2" xr2:uid="{371E5963-5E0B-44E2-973A-DAF8FE901C05}"/>
  </bookViews>
  <sheets>
    <sheet name="INDICADOR 2025" sheetId="3" r:id="rId1"/>
    <sheet name="INDICADOR X SUCURSAL 2025" sheetId="4" r:id="rId2"/>
    <sheet name="SUCURSALES 2026" sheetId="5" r:id="rId3"/>
  </sheets>
  <definedNames>
    <definedName name="_xlnm._FilterDatabase" localSheetId="1" hidden="1">'INDICADOR X SUCURSAL 2025'!$B$180:$E$180</definedName>
    <definedName name="_xlnm._FilterDatabase" localSheetId="2" hidden="1">'SUCURSALES 2026'!#REF!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1" i="5" l="1"/>
  <c r="I132" i="5"/>
  <c r="D13" i="5"/>
  <c r="C13" i="5"/>
  <c r="I129" i="5"/>
  <c r="J133" i="5"/>
  <c r="D133" i="5"/>
  <c r="D132" i="5"/>
  <c r="D131" i="5"/>
  <c r="D130" i="5"/>
  <c r="D129" i="5"/>
  <c r="C116" i="5"/>
  <c r="C74" i="5"/>
  <c r="C48" i="5"/>
  <c r="B66" i="5"/>
  <c r="B13" i="5"/>
  <c r="B57" i="5"/>
  <c r="B84" i="5"/>
  <c r="B95" i="5"/>
  <c r="B40" i="5"/>
  <c r="B105" i="5"/>
  <c r="B74" i="5"/>
  <c r="B31" i="5"/>
  <c r="B116" i="5"/>
  <c r="B48" i="5"/>
  <c r="B22" i="5"/>
  <c r="E13" i="5" l="1"/>
  <c r="F13" i="5" s="1"/>
  <c r="I133" i="5"/>
  <c r="J132" i="5"/>
  <c r="J131" i="5"/>
  <c r="J130" i="5"/>
  <c r="J129" i="5"/>
  <c r="D141" i="5"/>
  <c r="C31" i="5"/>
  <c r="C22" i="5"/>
  <c r="I130" i="5"/>
  <c r="D116" i="5"/>
  <c r="D74" i="5"/>
  <c r="B15" i="5"/>
  <c r="C105" i="5"/>
  <c r="D105" i="5" s="1"/>
  <c r="E105" i="5" s="1"/>
  <c r="F105" i="5" s="1"/>
  <c r="C95" i="5"/>
  <c r="D95" i="5" s="1"/>
  <c r="E95" i="5" s="1"/>
  <c r="C84" i="5"/>
  <c r="D84" i="5" s="1"/>
  <c r="E84" i="5" s="1"/>
  <c r="F84" i="5" s="1"/>
  <c r="C66" i="5"/>
  <c r="D66" i="5" s="1"/>
  <c r="C57" i="5"/>
  <c r="D57" i="5" s="1"/>
  <c r="E57" i="5" s="1"/>
  <c r="F57" i="5" s="1"/>
  <c r="C40" i="5"/>
  <c r="D40" i="5" s="1"/>
  <c r="E40" i="5" s="1"/>
  <c r="F40" i="5" s="1"/>
  <c r="D48" i="5"/>
  <c r="E48" i="5" s="1"/>
  <c r="F48" i="5" s="1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D140" i="5"/>
  <c r="D139" i="5"/>
  <c r="D138" i="5"/>
  <c r="D137" i="5"/>
  <c r="D136" i="5"/>
  <c r="D135" i="5"/>
  <c r="D134" i="5"/>
  <c r="B118" i="5"/>
  <c r="N118" i="5" s="1"/>
  <c r="N115" i="5"/>
  <c r="N114" i="5"/>
  <c r="N104" i="5"/>
  <c r="N103" i="5"/>
  <c r="B97" i="5"/>
  <c r="N94" i="5"/>
  <c r="N93" i="5"/>
  <c r="N83" i="5"/>
  <c r="N82" i="5"/>
  <c r="C76" i="5"/>
  <c r="B76" i="5"/>
  <c r="N73" i="5"/>
  <c r="N72" i="5"/>
  <c r="N65" i="5"/>
  <c r="N64" i="5"/>
  <c r="B59" i="5"/>
  <c r="N56" i="5"/>
  <c r="N55" i="5"/>
  <c r="N47" i="5"/>
  <c r="N46" i="5"/>
  <c r="B42" i="5"/>
  <c r="N39" i="5"/>
  <c r="N38" i="5"/>
  <c r="B33" i="5"/>
  <c r="N30" i="5"/>
  <c r="N29" i="5"/>
  <c r="B24" i="5"/>
  <c r="C24" i="5"/>
  <c r="N21" i="5"/>
  <c r="N20" i="5"/>
  <c r="N12" i="5"/>
  <c r="N11" i="5"/>
  <c r="D166" i="4"/>
  <c r="K133" i="5" l="1"/>
  <c r="E116" i="5"/>
  <c r="F116" i="5" s="1"/>
  <c r="E74" i="5"/>
  <c r="F74" i="5" s="1"/>
  <c r="D31" i="5"/>
  <c r="E31" i="5" s="1"/>
  <c r="F31" i="5" s="1"/>
  <c r="D22" i="5"/>
  <c r="K129" i="5"/>
  <c r="K130" i="5"/>
  <c r="F95" i="5"/>
  <c r="E66" i="5"/>
  <c r="F66" i="5" s="1"/>
  <c r="C59" i="5"/>
  <c r="N57" i="5"/>
  <c r="N60" i="5" s="1"/>
  <c r="D160" i="5" s="1"/>
  <c r="N48" i="5"/>
  <c r="N51" i="5" s="1"/>
  <c r="D159" i="5" s="1"/>
  <c r="N13" i="5"/>
  <c r="E144" i="5" s="1"/>
  <c r="N95" i="5"/>
  <c r="N98" i="5" s="1"/>
  <c r="D165" i="5" s="1"/>
  <c r="D163" i="5"/>
  <c r="C118" i="5"/>
  <c r="N105" i="5"/>
  <c r="N108" i="5" s="1"/>
  <c r="D166" i="5" s="1"/>
  <c r="C97" i="5"/>
  <c r="N84" i="5"/>
  <c r="N87" i="5" s="1"/>
  <c r="D164" i="5" s="1"/>
  <c r="N74" i="5"/>
  <c r="N77" i="5" s="1"/>
  <c r="D162" i="5" s="1"/>
  <c r="N31" i="5"/>
  <c r="N34" i="5" s="1"/>
  <c r="D157" i="5" s="1"/>
  <c r="B86" i="5"/>
  <c r="B107" i="5"/>
  <c r="N116" i="5"/>
  <c r="N119" i="5" s="1"/>
  <c r="D167" i="5" s="1"/>
  <c r="N66" i="5"/>
  <c r="N69" i="5" s="1"/>
  <c r="D161" i="5" s="1"/>
  <c r="B68" i="5"/>
  <c r="B50" i="5"/>
  <c r="N40" i="5"/>
  <c r="C42" i="5"/>
  <c r="N22" i="5"/>
  <c r="N25" i="5" s="1"/>
  <c r="D156" i="5" s="1"/>
  <c r="C86" i="5"/>
  <c r="D50" i="5"/>
  <c r="D68" i="5"/>
  <c r="C107" i="5"/>
  <c r="D33" i="5"/>
  <c r="C15" i="5"/>
  <c r="C33" i="5"/>
  <c r="C50" i="5"/>
  <c r="C68" i="5"/>
  <c r="N55" i="3"/>
  <c r="G168" i="4"/>
  <c r="L54" i="3"/>
  <c r="L52" i="3"/>
  <c r="L72" i="3"/>
  <c r="L70" i="3"/>
  <c r="L32" i="3"/>
  <c r="L30" i="3"/>
  <c r="L12" i="3"/>
  <c r="L11" i="3"/>
  <c r="D165" i="4"/>
  <c r="D164" i="4"/>
  <c r="I54" i="3"/>
  <c r="J54" i="3"/>
  <c r="J52" i="3"/>
  <c r="K52" i="3" s="1"/>
  <c r="K54" i="3" s="1"/>
  <c r="K12" i="3"/>
  <c r="K11" i="3"/>
  <c r="J32" i="3"/>
  <c r="K32" i="3"/>
  <c r="K30" i="3"/>
  <c r="K72" i="3"/>
  <c r="K70" i="3"/>
  <c r="D163" i="4"/>
  <c r="I32" i="3"/>
  <c r="I30" i="3"/>
  <c r="N73" i="3"/>
  <c r="C72" i="3"/>
  <c r="D72" i="3"/>
  <c r="E72" i="3"/>
  <c r="F72" i="3"/>
  <c r="G72" i="3"/>
  <c r="H72" i="3"/>
  <c r="I72" i="3"/>
  <c r="J72" i="3"/>
  <c r="B72" i="3"/>
  <c r="I70" i="3"/>
  <c r="J70" i="3" s="1"/>
  <c r="H70" i="3"/>
  <c r="G70" i="3"/>
  <c r="N69" i="3"/>
  <c r="N68" i="3"/>
  <c r="M12" i="3"/>
  <c r="I11" i="3"/>
  <c r="H11" i="3"/>
  <c r="G11" i="3"/>
  <c r="F11" i="3"/>
  <c r="E11" i="3"/>
  <c r="D11" i="3"/>
  <c r="C11" i="3"/>
  <c r="B11" i="3"/>
  <c r="N141" i="4"/>
  <c r="N142" i="4"/>
  <c r="B143" i="4"/>
  <c r="C143" i="4" s="1"/>
  <c r="N81" i="4"/>
  <c r="N82" i="4"/>
  <c r="B83" i="4"/>
  <c r="C83" i="4" s="1"/>
  <c r="D155" i="4"/>
  <c r="B12" i="3" s="1"/>
  <c r="D156" i="4"/>
  <c r="C12" i="3" s="1"/>
  <c r="D157" i="4"/>
  <c r="D12" i="3" s="1"/>
  <c r="D158" i="4"/>
  <c r="E12" i="3" s="1"/>
  <c r="D159" i="4"/>
  <c r="F12" i="3" s="1"/>
  <c r="D160" i="4"/>
  <c r="G12" i="3" s="1"/>
  <c r="D161" i="4"/>
  <c r="H12" i="3" s="1"/>
  <c r="D162" i="4"/>
  <c r="I12" i="3" s="1"/>
  <c r="D15" i="5" l="1"/>
  <c r="E22" i="5"/>
  <c r="K131" i="5"/>
  <c r="N16" i="5"/>
  <c r="D155" i="5" s="1"/>
  <c r="D145" i="5"/>
  <c r="N43" i="5"/>
  <c r="D158" i="5" s="1"/>
  <c r="E33" i="5"/>
  <c r="D107" i="5"/>
  <c r="D76" i="5"/>
  <c r="E68" i="5"/>
  <c r="E50" i="5"/>
  <c r="D86" i="5"/>
  <c r="D42" i="5"/>
  <c r="D59" i="5"/>
  <c r="D24" i="5"/>
  <c r="D118" i="5"/>
  <c r="D97" i="5"/>
  <c r="B13" i="3"/>
  <c r="C13" i="3" s="1"/>
  <c r="D13" i="3" s="1"/>
  <c r="E13" i="3" s="1"/>
  <c r="F13" i="3" s="1"/>
  <c r="G13" i="3" s="1"/>
  <c r="H13" i="3" s="1"/>
  <c r="I13" i="3" s="1"/>
  <c r="J13" i="3" s="1"/>
  <c r="K13" i="3" s="1"/>
  <c r="D167" i="4"/>
  <c r="N70" i="3"/>
  <c r="N143" i="4"/>
  <c r="N146" i="4" s="1"/>
  <c r="N83" i="4"/>
  <c r="N86" i="4" s="1"/>
  <c r="D83" i="4"/>
  <c r="C85" i="4"/>
  <c r="D143" i="4"/>
  <c r="C145" i="4"/>
  <c r="B85" i="4"/>
  <c r="B145" i="4"/>
  <c r="N133" i="4"/>
  <c r="N132" i="4"/>
  <c r="N122" i="4"/>
  <c r="N121" i="4"/>
  <c r="N112" i="4"/>
  <c r="N111" i="4"/>
  <c r="N101" i="4"/>
  <c r="N100" i="4"/>
  <c r="N91" i="4"/>
  <c r="N90" i="4"/>
  <c r="N73" i="4"/>
  <c r="N72" i="4"/>
  <c r="N65" i="4"/>
  <c r="N64" i="4"/>
  <c r="N56" i="4"/>
  <c r="N55" i="4"/>
  <c r="N47" i="4"/>
  <c r="N46" i="4"/>
  <c r="N39" i="4"/>
  <c r="N38" i="4"/>
  <c r="N30" i="4"/>
  <c r="N29" i="4"/>
  <c r="N21" i="4"/>
  <c r="N20" i="4"/>
  <c r="N12" i="4"/>
  <c r="N11" i="4"/>
  <c r="B52" i="3"/>
  <c r="C52" i="3" s="1"/>
  <c r="D52" i="3" s="1"/>
  <c r="E52" i="3" s="1"/>
  <c r="F52" i="3" s="1"/>
  <c r="G52" i="3" s="1"/>
  <c r="H52" i="3" s="1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F22" i="5" l="1"/>
  <c r="E15" i="5"/>
  <c r="K132" i="5"/>
  <c r="F68" i="5"/>
  <c r="E86" i="5"/>
  <c r="E24" i="5"/>
  <c r="F50" i="5"/>
  <c r="E107" i="5"/>
  <c r="E97" i="5"/>
  <c r="E59" i="5"/>
  <c r="F33" i="5"/>
  <c r="E42" i="5"/>
  <c r="E76" i="5"/>
  <c r="E118" i="5"/>
  <c r="J15" i="3"/>
  <c r="K15" i="3"/>
  <c r="L13" i="3"/>
  <c r="L15" i="3" s="1"/>
  <c r="I52" i="3"/>
  <c r="H54" i="3"/>
  <c r="F54" i="3"/>
  <c r="E54" i="3"/>
  <c r="G54" i="3"/>
  <c r="D54" i="3"/>
  <c r="C54" i="3"/>
  <c r="D145" i="4"/>
  <c r="E143" i="4"/>
  <c r="E83" i="4"/>
  <c r="D85" i="4"/>
  <c r="B134" i="4"/>
  <c r="C134" i="4" s="1"/>
  <c r="D134" i="4" s="1"/>
  <c r="B123" i="4"/>
  <c r="C123" i="4" s="1"/>
  <c r="B113" i="4"/>
  <c r="B115" i="4" s="1"/>
  <c r="B102" i="4"/>
  <c r="B104" i="4" s="1"/>
  <c r="B92" i="4"/>
  <c r="B94" i="4" s="1"/>
  <c r="B74" i="4"/>
  <c r="C74" i="4" s="1"/>
  <c r="B66" i="4"/>
  <c r="B68" i="4" s="1"/>
  <c r="B57" i="4"/>
  <c r="B59" i="4" s="1"/>
  <c r="B48" i="4"/>
  <c r="B50" i="4" s="1"/>
  <c r="B40" i="4"/>
  <c r="B42" i="4" s="1"/>
  <c r="B31" i="4"/>
  <c r="C31" i="4" s="1"/>
  <c r="B22" i="4"/>
  <c r="C22" i="4" s="1"/>
  <c r="B13" i="4"/>
  <c r="B15" i="3" s="1"/>
  <c r="F15" i="5" l="1"/>
  <c r="G33" i="5"/>
  <c r="G15" i="5"/>
  <c r="F86" i="5"/>
  <c r="F97" i="5"/>
  <c r="F76" i="5"/>
  <c r="F24" i="5"/>
  <c r="F118" i="5"/>
  <c r="F107" i="5"/>
  <c r="G50" i="5"/>
  <c r="G68" i="5"/>
  <c r="F42" i="5"/>
  <c r="F59" i="5"/>
  <c r="F83" i="4"/>
  <c r="E85" i="4"/>
  <c r="E145" i="4"/>
  <c r="F143" i="4"/>
  <c r="B125" i="4"/>
  <c r="D136" i="4"/>
  <c r="E134" i="4"/>
  <c r="C24" i="4"/>
  <c r="D22" i="4"/>
  <c r="C33" i="4"/>
  <c r="D31" i="4"/>
  <c r="C125" i="4"/>
  <c r="D123" i="4"/>
  <c r="C76" i="4"/>
  <c r="D74" i="4"/>
  <c r="C13" i="4"/>
  <c r="C15" i="3" s="1"/>
  <c r="B15" i="4"/>
  <c r="B136" i="4"/>
  <c r="N40" i="4"/>
  <c r="N43" i="4" s="1"/>
  <c r="D184" i="4" s="1"/>
  <c r="C113" i="4"/>
  <c r="N102" i="4"/>
  <c r="N105" i="4" s="1"/>
  <c r="D190" i="4" s="1"/>
  <c r="C136" i="4"/>
  <c r="C102" i="4"/>
  <c r="C92" i="4"/>
  <c r="B76" i="4"/>
  <c r="C66" i="4"/>
  <c r="C48" i="4"/>
  <c r="C40" i="4"/>
  <c r="C57" i="4"/>
  <c r="N74" i="4"/>
  <c r="N77" i="4" s="1"/>
  <c r="D188" i="4" s="1"/>
  <c r="N113" i="4"/>
  <c r="N116" i="4" s="1"/>
  <c r="D191" i="4" s="1"/>
  <c r="N123" i="4"/>
  <c r="N126" i="4" s="1"/>
  <c r="D192" i="4" s="1"/>
  <c r="N66" i="4"/>
  <c r="N69" i="4" s="1"/>
  <c r="D187" i="4" s="1"/>
  <c r="N92" i="4"/>
  <c r="N95" i="4" s="1"/>
  <c r="D189" i="4" s="1"/>
  <c r="N134" i="4"/>
  <c r="N57" i="4"/>
  <c r="N60" i="4" s="1"/>
  <c r="D186" i="4" s="1"/>
  <c r="N48" i="4"/>
  <c r="B33" i="4"/>
  <c r="B24" i="4"/>
  <c r="B54" i="3"/>
  <c r="N50" i="3"/>
  <c r="B30" i="3"/>
  <c r="B32" i="3" s="1"/>
  <c r="N32" i="3" s="1"/>
  <c r="N29" i="3"/>
  <c r="N28" i="3"/>
  <c r="N11" i="3"/>
  <c r="H15" i="5" l="1"/>
  <c r="H50" i="5"/>
  <c r="G59" i="5"/>
  <c r="H33" i="5"/>
  <c r="H68" i="5"/>
  <c r="G76" i="5"/>
  <c r="G42" i="5"/>
  <c r="G97" i="5"/>
  <c r="G24" i="5"/>
  <c r="G107" i="5"/>
  <c r="G86" i="5"/>
  <c r="G118" i="5"/>
  <c r="N30" i="3"/>
  <c r="N33" i="3" s="1"/>
  <c r="G143" i="4"/>
  <c r="F145" i="4"/>
  <c r="G83" i="4"/>
  <c r="F85" i="4"/>
  <c r="N51" i="4"/>
  <c r="D185" i="4" s="1"/>
  <c r="D33" i="4"/>
  <c r="E31" i="4"/>
  <c r="D76" i="4"/>
  <c r="E74" i="4"/>
  <c r="D24" i="4"/>
  <c r="E22" i="4"/>
  <c r="D125" i="4"/>
  <c r="E123" i="4"/>
  <c r="E136" i="4"/>
  <c r="F134" i="4"/>
  <c r="N137" i="4"/>
  <c r="D193" i="4" s="1"/>
  <c r="C115" i="4"/>
  <c r="D113" i="4"/>
  <c r="C68" i="4"/>
  <c r="D66" i="4"/>
  <c r="C59" i="4"/>
  <c r="D57" i="4"/>
  <c r="C94" i="4"/>
  <c r="D92" i="4"/>
  <c r="C15" i="4"/>
  <c r="D13" i="4"/>
  <c r="C42" i="4"/>
  <c r="D40" i="4"/>
  <c r="C50" i="4"/>
  <c r="D48" i="4"/>
  <c r="C104" i="4"/>
  <c r="D102" i="4"/>
  <c r="N13" i="4"/>
  <c r="N31" i="4"/>
  <c r="N34" i="4" s="1"/>
  <c r="D183" i="4" s="1"/>
  <c r="N22" i="4"/>
  <c r="N25" i="4" s="1"/>
  <c r="D182" i="4" s="1"/>
  <c r="N16" i="3"/>
  <c r="H97" i="5" l="1"/>
  <c r="H59" i="5"/>
  <c r="H86" i="5"/>
  <c r="H118" i="5"/>
  <c r="H107" i="5"/>
  <c r="H76" i="5"/>
  <c r="I50" i="5"/>
  <c r="I33" i="5"/>
  <c r="H42" i="5"/>
  <c r="H24" i="5"/>
  <c r="I68" i="5"/>
  <c r="I15" i="5"/>
  <c r="E170" i="4"/>
  <c r="D171" i="4" s="1"/>
  <c r="D15" i="3"/>
  <c r="H83" i="4"/>
  <c r="G85" i="4"/>
  <c r="H143" i="4"/>
  <c r="G145" i="4"/>
  <c r="N16" i="4"/>
  <c r="D181" i="4" s="1"/>
  <c r="F136" i="4"/>
  <c r="G134" i="4"/>
  <c r="D94" i="4"/>
  <c r="E92" i="4"/>
  <c r="F74" i="4"/>
  <c r="E76" i="4"/>
  <c r="F123" i="4"/>
  <c r="E125" i="4"/>
  <c r="D104" i="4"/>
  <c r="E102" i="4"/>
  <c r="D50" i="4"/>
  <c r="E48" i="4"/>
  <c r="D42" i="4"/>
  <c r="E40" i="4"/>
  <c r="F22" i="4"/>
  <c r="E24" i="4"/>
  <c r="D59" i="4"/>
  <c r="E57" i="4"/>
  <c r="D68" i="4"/>
  <c r="E66" i="4"/>
  <c r="F31" i="4"/>
  <c r="E33" i="4"/>
  <c r="D15" i="4"/>
  <c r="E13" i="4"/>
  <c r="D115" i="4"/>
  <c r="E113" i="4"/>
  <c r="I107" i="5" l="1"/>
  <c r="I42" i="5"/>
  <c r="I76" i="5"/>
  <c r="J15" i="5"/>
  <c r="I86" i="5"/>
  <c r="I118" i="5"/>
  <c r="I59" i="5"/>
  <c r="J50" i="5"/>
  <c r="J68" i="5"/>
  <c r="J33" i="5"/>
  <c r="I24" i="5"/>
  <c r="I97" i="5"/>
  <c r="E15" i="3"/>
  <c r="I143" i="4"/>
  <c r="H145" i="4"/>
  <c r="I83" i="4"/>
  <c r="H85" i="4"/>
  <c r="G136" i="4"/>
  <c r="H134" i="4"/>
  <c r="F76" i="4"/>
  <c r="G74" i="4"/>
  <c r="F125" i="4"/>
  <c r="G123" i="4"/>
  <c r="F33" i="4"/>
  <c r="G31" i="4"/>
  <c r="F24" i="4"/>
  <c r="G22" i="4"/>
  <c r="F66" i="4"/>
  <c r="E68" i="4"/>
  <c r="F113" i="4"/>
  <c r="E115" i="4"/>
  <c r="F40" i="4"/>
  <c r="E42" i="4"/>
  <c r="E50" i="4"/>
  <c r="F48" i="4"/>
  <c r="E15" i="4"/>
  <c r="F13" i="4"/>
  <c r="F57" i="4"/>
  <c r="E59" i="4"/>
  <c r="E104" i="4"/>
  <c r="F102" i="4"/>
  <c r="E94" i="4"/>
  <c r="F92" i="4"/>
  <c r="J24" i="5" l="1"/>
  <c r="J42" i="5"/>
  <c r="J76" i="5"/>
  <c r="J86" i="5"/>
  <c r="J59" i="5"/>
  <c r="J97" i="5"/>
  <c r="K68" i="5"/>
  <c r="K33" i="5"/>
  <c r="J118" i="5"/>
  <c r="K50" i="5"/>
  <c r="K15" i="5"/>
  <c r="J107" i="5"/>
  <c r="I85" i="4"/>
  <c r="J83" i="4"/>
  <c r="I145" i="4"/>
  <c r="J143" i="4"/>
  <c r="G13" i="4"/>
  <c r="G15" i="4" s="1"/>
  <c r="F15" i="3"/>
  <c r="H136" i="4"/>
  <c r="I134" i="4"/>
  <c r="G76" i="4"/>
  <c r="H74" i="4"/>
  <c r="G125" i="4"/>
  <c r="H123" i="4"/>
  <c r="G33" i="4"/>
  <c r="H31" i="4"/>
  <c r="G24" i="4"/>
  <c r="H22" i="4"/>
  <c r="F59" i="4"/>
  <c r="G57" i="4"/>
  <c r="F50" i="4"/>
  <c r="G48" i="4"/>
  <c r="F104" i="4"/>
  <c r="G102" i="4"/>
  <c r="F115" i="4"/>
  <c r="G113" i="4"/>
  <c r="F68" i="4"/>
  <c r="G66" i="4"/>
  <c r="F94" i="4"/>
  <c r="G92" i="4"/>
  <c r="F42" i="4"/>
  <c r="G40" i="4"/>
  <c r="F15" i="4"/>
  <c r="K76" i="5" l="1"/>
  <c r="K42" i="5"/>
  <c r="K24" i="5"/>
  <c r="L68" i="5"/>
  <c r="M68" i="5"/>
  <c r="K97" i="5"/>
  <c r="L50" i="5"/>
  <c r="M50" i="5"/>
  <c r="K59" i="5"/>
  <c r="K107" i="5"/>
  <c r="K118" i="5"/>
  <c r="M15" i="5"/>
  <c r="L15" i="5"/>
  <c r="L33" i="5"/>
  <c r="M33" i="5"/>
  <c r="K86" i="5"/>
  <c r="J145" i="4"/>
  <c r="K143" i="4"/>
  <c r="J85" i="4"/>
  <c r="K83" i="4"/>
  <c r="I136" i="4"/>
  <c r="J134" i="4"/>
  <c r="H13" i="4"/>
  <c r="G15" i="3"/>
  <c r="H125" i="4"/>
  <c r="I123" i="4"/>
  <c r="H24" i="4"/>
  <c r="I22" i="4"/>
  <c r="H76" i="4"/>
  <c r="I74" i="4"/>
  <c r="H33" i="4"/>
  <c r="I31" i="4"/>
  <c r="G68" i="4"/>
  <c r="H66" i="4"/>
  <c r="G59" i="4"/>
  <c r="H57" i="4"/>
  <c r="G104" i="4"/>
  <c r="H102" i="4"/>
  <c r="G115" i="4"/>
  <c r="H113" i="4"/>
  <c r="G42" i="4"/>
  <c r="H40" i="4"/>
  <c r="G94" i="4"/>
  <c r="H92" i="4"/>
  <c r="G50" i="4"/>
  <c r="H48" i="4"/>
  <c r="L24" i="5" l="1"/>
  <c r="M24" i="5"/>
  <c r="M42" i="5"/>
  <c r="L42" i="5"/>
  <c r="L86" i="5"/>
  <c r="M86" i="5"/>
  <c r="L107" i="5"/>
  <c r="M107" i="5"/>
  <c r="M59" i="5"/>
  <c r="L59" i="5"/>
  <c r="M97" i="5"/>
  <c r="L97" i="5"/>
  <c r="M76" i="5"/>
  <c r="L76" i="5"/>
  <c r="M118" i="5"/>
  <c r="L118" i="5"/>
  <c r="K85" i="4"/>
  <c r="L83" i="4"/>
  <c r="K145" i="4"/>
  <c r="L143" i="4"/>
  <c r="J136" i="4"/>
  <c r="K134" i="4"/>
  <c r="I24" i="4"/>
  <c r="J22" i="4"/>
  <c r="I76" i="4"/>
  <c r="J74" i="4"/>
  <c r="I125" i="4"/>
  <c r="J123" i="4"/>
  <c r="I33" i="4"/>
  <c r="J31" i="4"/>
  <c r="H15" i="3"/>
  <c r="H15" i="4"/>
  <c r="I13" i="4"/>
  <c r="H50" i="4"/>
  <c r="I48" i="4"/>
  <c r="H94" i="4"/>
  <c r="I92" i="4"/>
  <c r="H68" i="4"/>
  <c r="I66" i="4"/>
  <c r="H104" i="4"/>
  <c r="I102" i="4"/>
  <c r="H59" i="4"/>
  <c r="I57" i="4"/>
  <c r="H42" i="4"/>
  <c r="I40" i="4"/>
  <c r="H115" i="4"/>
  <c r="I113" i="4"/>
  <c r="M143" i="4" l="1"/>
  <c r="M145" i="4" s="1"/>
  <c r="L145" i="4"/>
  <c r="M83" i="4"/>
  <c r="M85" i="4" s="1"/>
  <c r="L85" i="4"/>
  <c r="K136" i="4"/>
  <c r="L134" i="4"/>
  <c r="J24" i="4"/>
  <c r="K22" i="4"/>
  <c r="J76" i="4"/>
  <c r="K74" i="4"/>
  <c r="J33" i="4"/>
  <c r="K31" i="4"/>
  <c r="J125" i="4"/>
  <c r="K123" i="4"/>
  <c r="I94" i="4"/>
  <c r="J92" i="4"/>
  <c r="I59" i="4"/>
  <c r="J57" i="4"/>
  <c r="I104" i="4"/>
  <c r="J102" i="4"/>
  <c r="I15" i="4"/>
  <c r="J13" i="4"/>
  <c r="I15" i="3"/>
  <c r="I42" i="4"/>
  <c r="J40" i="4"/>
  <c r="I50" i="4"/>
  <c r="J48" i="4"/>
  <c r="I115" i="4"/>
  <c r="J113" i="4"/>
  <c r="I68" i="4"/>
  <c r="J66" i="4"/>
  <c r="K24" i="4" l="1"/>
  <c r="L22" i="4"/>
  <c r="M134" i="4"/>
  <c r="M136" i="4" s="1"/>
  <c r="L136" i="4"/>
  <c r="K76" i="4"/>
  <c r="L74" i="4"/>
  <c r="K125" i="4"/>
  <c r="L123" i="4"/>
  <c r="K33" i="4"/>
  <c r="L31" i="4"/>
  <c r="J115" i="4"/>
  <c r="K113" i="4"/>
  <c r="J15" i="4"/>
  <c r="K13" i="4"/>
  <c r="J50" i="4"/>
  <c r="K48" i="4"/>
  <c r="J59" i="4"/>
  <c r="K57" i="4"/>
  <c r="J104" i="4"/>
  <c r="K102" i="4"/>
  <c r="J42" i="4"/>
  <c r="K40" i="4"/>
  <c r="J94" i="4"/>
  <c r="K92" i="4"/>
  <c r="J68" i="4"/>
  <c r="K66" i="4"/>
  <c r="K50" i="4" l="1"/>
  <c r="L48" i="4"/>
  <c r="K15" i="4"/>
  <c r="L13" i="4"/>
  <c r="M123" i="4"/>
  <c r="M125" i="4" s="1"/>
  <c r="L125" i="4"/>
  <c r="M74" i="4"/>
  <c r="M76" i="4" s="1"/>
  <c r="L76" i="4"/>
  <c r="K94" i="4"/>
  <c r="L92" i="4"/>
  <c r="K42" i="4"/>
  <c r="L40" i="4"/>
  <c r="K115" i="4"/>
  <c r="L113" i="4"/>
  <c r="K59" i="4"/>
  <c r="L57" i="4"/>
  <c r="M31" i="4"/>
  <c r="M33" i="4" s="1"/>
  <c r="L33" i="4"/>
  <c r="M22" i="4"/>
  <c r="M24" i="4" s="1"/>
  <c r="L24" i="4"/>
  <c r="K104" i="4"/>
  <c r="L102" i="4"/>
  <c r="K68" i="4"/>
  <c r="L66" i="4"/>
  <c r="M57" i="4" l="1"/>
  <c r="M59" i="4" s="1"/>
  <c r="L59" i="4"/>
  <c r="M102" i="4"/>
  <c r="M104" i="4" s="1"/>
  <c r="L104" i="4"/>
  <c r="M66" i="4"/>
  <c r="M68" i="4" s="1"/>
  <c r="L68" i="4"/>
  <c r="M40" i="4"/>
  <c r="M42" i="4" s="1"/>
  <c r="L42" i="4"/>
  <c r="M113" i="4"/>
  <c r="M115" i="4" s="1"/>
  <c r="L115" i="4"/>
  <c r="M48" i="4"/>
  <c r="M50" i="4" s="1"/>
  <c r="L50" i="4"/>
  <c r="M13" i="4"/>
  <c r="M15" i="4" s="1"/>
  <c r="L15" i="4"/>
  <c r="M92" i="4"/>
  <c r="M94" i="4" s="1"/>
  <c r="L94" i="4"/>
</calcChain>
</file>

<file path=xl/sharedStrings.xml><?xml version="1.0" encoding="utf-8"?>
<sst xmlns="http://schemas.openxmlformats.org/spreadsheetml/2006/main" count="668" uniqueCount="57">
  <si>
    <t>ATLIXCO</t>
  </si>
  <si>
    <t>CORDOBA</t>
  </si>
  <si>
    <t>ORIZABA</t>
  </si>
  <si>
    <t>SAN JUAN</t>
  </si>
  <si>
    <t>HUAMANTLA</t>
  </si>
  <si>
    <t>MIACATLAN</t>
  </si>
  <si>
    <t>TULA</t>
  </si>
  <si>
    <t>TULANCINGO</t>
  </si>
  <si>
    <t>PACHUCA</t>
  </si>
  <si>
    <t>ROTACIÓN DE PERSONAL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</si>
  <si>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</si>
  <si>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</si>
  <si>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</si>
  <si>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</si>
  <si>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</si>
  <si>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</si>
  <si>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</si>
  <si>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</si>
  <si>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</t>
  </si>
  <si>
    <t>OCT</t>
  </si>
  <si>
    <t>NOV</t>
  </si>
  <si>
    <t>DIC</t>
  </si>
  <si>
    <t>TOTALES</t>
  </si>
  <si>
    <t>ALTAS</t>
  </si>
  <si>
    <t>BAJAS</t>
  </si>
  <si>
    <t>PLANTILLA</t>
  </si>
  <si>
    <t>ROTACIÓN</t>
  </si>
  <si>
    <t>PROMEDIO MENSUAL</t>
  </si>
  <si>
    <t>ROTACIÓN ANUAL</t>
  </si>
  <si>
    <t>CORPORATIVO</t>
  </si>
  <si>
    <t>ATLACOMULCO</t>
  </si>
  <si>
    <t>IXTLAHUACA</t>
  </si>
  <si>
    <t>TLAXCALA</t>
  </si>
  <si>
    <t>CUERNAVACA</t>
  </si>
  <si>
    <t>SAN LUIS</t>
  </si>
  <si>
    <t>TENANGO</t>
  </si>
  <si>
    <t>SUCURSAL</t>
  </si>
  <si>
    <t>Total de bajas</t>
  </si>
  <si>
    <t>Bajas febrero</t>
  </si>
  <si>
    <t>Bajas enero</t>
  </si>
  <si>
    <t>ROTACIÓN POR SUCURSALES 2025</t>
  </si>
  <si>
    <t>Plantilla</t>
  </si>
  <si>
    <t>Bajas Marzo</t>
  </si>
  <si>
    <t>Bajas abril</t>
  </si>
  <si>
    <t>Rotación General</t>
  </si>
  <si>
    <t>Bajas mayo</t>
  </si>
  <si>
    <t>Bajas junio</t>
  </si>
  <si>
    <t>Bajas julio</t>
  </si>
  <si>
    <t>Bajas agosto</t>
  </si>
  <si>
    <t xml:space="preserve"> </t>
  </si>
  <si>
    <t>Bajas Sept</t>
  </si>
  <si>
    <t>Bajas Octubre</t>
  </si>
  <si>
    <t>Bajas Noviembre</t>
  </si>
  <si>
    <t>Baja Diciembre</t>
  </si>
  <si>
    <t>ROTACIÓN POR SUCURSALES 2026</t>
  </si>
  <si>
    <t>MES</t>
  </si>
  <si>
    <t>ROTACIÓN MENSUAL SUCURSALES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</si>
</sst>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8" fillId="4" borderId="0" xfId="0" applyNumberFormat="1" applyFont="1" applyFill="1" applyAlignment="1">
      <alignment horizontal="center" vertical="center"/>
    </xf>
    <xf numFmtId="2" fontId="8" fillId="5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2" fontId="5" fillId="0" borderId="0" xfId="0" applyNumberFormat="1" applyFont="1"/>
    <xf numFmtId="0" fontId="11" fillId="0" borderId="1" xfId="1" applyFont="1" applyBorder="1" applyAlignment="1">
      <alignment horizontal="center"/>
    </xf>
    <xf numFmtId="164" fontId="9" fillId="3" borderId="0" xfId="0" applyNumberFormat="1" applyFont="1" applyFill="1" applyAlignment="1">
      <alignment horizontal="center" vertical="center"/>
    </xf>
    <xf numFmtId="0" fontId="9" fillId="2" borderId="7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9" fillId="9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9" fillId="10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ROTACIÓN CORPORATIVO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5.3070041637465475E-2"/>
          <c:y val="0.10796516231195567"/>
          <c:w val="0.94692995836253457"/>
          <c:h val="0.736616355259630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'INDICADOR 2025'!$A$50</c:f>
              <c:strCache>
                <c:ptCount val="1"/>
                <c:pt idx="0">
                  <c:v>ALTAS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'INDICADOR 2025'!$B$49:$G$49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'INDICADOR 2025'!$B$50:$G$50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4-4BA6-B039-87CC7C7B1EC7}"/>
            </c:ext>
          </c:extLst>
        </c:ser>
        <c:ser>
          <c:idx val="1"/>
          <c:order val="1"/>
          <c:tx>
            <c:strRef>
              <c:f>'INDICADOR 2025'!$A$51</c:f>
              <c:strCache>
                <c:ptCount val="1"/>
                <c:pt idx="0">
                  <c:v>BAJAS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'INDICADOR 2025'!$B$49:$G$49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'INDICADOR 2025'!$B$51:$G$51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4-4BA6-B039-87CC7C7B1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983103"/>
        <c:axId val="610973023"/>
      </c:barChart>
      <c:catAx>
        <c:axId val="6109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0973023"/>
        <c:crosses val="autoZero"/>
        <c:auto val="1"/>
        <c:lblAlgn val="ctr"/>
        <c:lblOffset val="100"/>
        <c:noMultiLvlLbl val="0"/>
      </c:catAx>
      <c:valAx>
        <c:axId val="6109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098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ROTACIÓN DE PERSONAL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 X SUCURSAL 2025'!$B$181:$B$195</c:f>
              <c:strCache>
                <c:ptCount val="13"/>
                <c:pt idx="0">
                  <c:v>ATLACOMULCO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JUAN</c:v>
                </c:pt>
                <c:pt idx="9">
                  <c:v>SAN LUIS</c:v>
                </c:pt>
                <c:pt idx="10">
                  <c:v>TENANGO</c:v>
                </c:pt>
                <c:pt idx="11">
                  <c:v>TLAXCALA</c:v>
                </c:pt>
                <c:pt idx="12">
                  <c:v>TULA</c:v>
                </c:pt>
              </c:strCache>
            </c:strRef>
          </c:cat>
          <c:val>
            <c:numRef>
              <c:f>'INDICADOR X SUCURSAL 2025'!$C$181:$C$195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AB8D-4F29-8FFC-1F05A3399BF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4"/>
            <c:invertIfNegative val="0"/>
            <c:bubble3D val="0"/>
            <c:spPr>
              <a:solidFill>
                <a:srgbClr val="E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B8D-4F29-8FFC-1F05A3399BFC}"/>
              </c:ext>
            </c:extLst>
          </c:dPt>
          <c:dPt>
            <c:idx val="6"/>
            <c:invertIfNegative val="0"/>
            <c:bubble3D val="0"/>
            <c:spPr>
              <a:solidFill>
                <a:srgbClr val="E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B8D-4F29-8FFC-1F05A3399BFC}"/>
              </c:ext>
            </c:extLst>
          </c:dPt>
          <c:dPt>
            <c:idx val="8"/>
            <c:invertIfNegative val="0"/>
            <c:bubble3D val="0"/>
            <c:spPr>
              <a:solidFill>
                <a:srgbClr val="E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B31-4741-87B9-5FEAF067D842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0D15-4241-AD68-061B691293E6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B8D-4F29-8FFC-1F05A3399BF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B8D-4F29-8FFC-1F05A3399BF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B31-4741-87B9-5FEAF067D8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 X SUCURSAL 2025'!$B$181:$B$195</c:f>
              <c:strCache>
                <c:ptCount val="13"/>
                <c:pt idx="0">
                  <c:v>ATLACOMULCO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JUAN</c:v>
                </c:pt>
                <c:pt idx="9">
                  <c:v>SAN LUIS</c:v>
                </c:pt>
                <c:pt idx="10">
                  <c:v>TENANGO</c:v>
                </c:pt>
                <c:pt idx="11">
                  <c:v>TLAXCALA</c:v>
                </c:pt>
                <c:pt idx="12">
                  <c:v>TULA</c:v>
                </c:pt>
              </c:strCache>
            </c:strRef>
          </c:cat>
          <c:val>
            <c:numRef>
              <c:f>'INDICADOR X SUCURSAL 2025'!$D$181:$D$195</c:f>
              <c:numCache>
                <c:formatCode>0.00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30</c:v>
                </c:pt>
                <c:pt idx="3">
                  <c:v>108.33333333333333</c:v>
                </c:pt>
                <c:pt idx="4">
                  <c:v>211.11111111111111</c:v>
                </c:pt>
                <c:pt idx="5">
                  <c:v>250</c:v>
                </c:pt>
                <c:pt idx="6">
                  <c:v>144.44444444444446</c:v>
                </c:pt>
                <c:pt idx="7">
                  <c:v>18.181818181818183</c:v>
                </c:pt>
                <c:pt idx="8">
                  <c:v>266.66666666666669</c:v>
                </c:pt>
                <c:pt idx="9">
                  <c:v>22.222222222222221</c:v>
                </c:pt>
                <c:pt idx="10">
                  <c:v>66.666666666666671</c:v>
                </c:pt>
                <c:pt idx="11">
                  <c:v>91.666666666666671</c:v>
                </c:pt>
                <c:pt idx="12">
                  <c:v>154.54545454545453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D-4F29-8FFC-1F05A3399B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8056912"/>
        <c:axId val="678053072"/>
        <c:axId val="0"/>
      </c:bar3DChart>
      <c:catAx>
        <c:axId val="67805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8053072"/>
        <c:crosses val="autoZero"/>
        <c:auto val="1"/>
        <c:lblAlgn val="ctr"/>
        <c:lblOffset val="100"/>
        <c:noMultiLvlLbl val="0"/>
      </c:catAx>
      <c:valAx>
        <c:axId val="6780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80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ROTACIÓN DE PERSONAL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 X SUCURSAL 2025'!$B$181:$B$195</c:f>
              <c:strCache>
                <c:ptCount val="13"/>
                <c:pt idx="0">
                  <c:v>ATLACOMULCO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JUAN</c:v>
                </c:pt>
                <c:pt idx="9">
                  <c:v>SAN LUIS</c:v>
                </c:pt>
                <c:pt idx="10">
                  <c:v>TENANGO</c:v>
                </c:pt>
                <c:pt idx="11">
                  <c:v>TLAXCALA</c:v>
                </c:pt>
                <c:pt idx="12">
                  <c:v>TULA</c:v>
                </c:pt>
              </c:strCache>
            </c:strRef>
          </c:cat>
          <c:val>
            <c:numRef>
              <c:f>'INDICADOR X SUCURSAL 2025'!$C$181:$C$195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3021-4B38-8047-F99E74DABA4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4"/>
            <c:invertIfNegative val="0"/>
            <c:bubble3D val="0"/>
            <c:spPr>
              <a:solidFill>
                <a:srgbClr val="E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021-4B38-8047-F99E74DABA45}"/>
              </c:ext>
            </c:extLst>
          </c:dPt>
          <c:dPt>
            <c:idx val="6"/>
            <c:invertIfNegative val="0"/>
            <c:bubble3D val="0"/>
            <c:spPr>
              <a:solidFill>
                <a:srgbClr val="E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021-4B38-8047-F99E74DABA45}"/>
              </c:ext>
            </c:extLst>
          </c:dPt>
          <c:dPt>
            <c:idx val="8"/>
            <c:invertIfNegative val="0"/>
            <c:bubble3D val="0"/>
            <c:spPr>
              <a:solidFill>
                <a:srgbClr val="E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3021-4B38-8047-F99E74DABA45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3021-4B38-8047-F99E74DABA45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021-4B38-8047-F99E74DABA4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021-4B38-8047-F99E74DABA4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021-4B38-8047-F99E74DAB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'INDICADOR X SUCURSAL 2025'!$B$181:$B$195</c:f>
              <c:strCache>
                <c:ptCount val="13"/>
                <c:pt idx="0">
                  <c:v>ATLACOMULCO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JUAN</c:v>
                </c:pt>
                <c:pt idx="9">
                  <c:v>SAN LUIS</c:v>
                </c:pt>
                <c:pt idx="10">
                  <c:v>TENANGO</c:v>
                </c:pt>
                <c:pt idx="11">
                  <c:v>TLAXCALA</c:v>
                </c:pt>
                <c:pt idx="12">
                  <c:v>TULA</c:v>
                </c:pt>
              </c:strCache>
            </c:strRef>
          </c:cat>
          <c:val>
            <c:numRef>
              <c:f>'INDICADOR X SUCURSAL 2025'!$D$181:$D$195</c:f>
              <c:numCache>
                <c:formatCode>0.00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30</c:v>
                </c:pt>
                <c:pt idx="3">
                  <c:v>108.33333333333333</c:v>
                </c:pt>
                <c:pt idx="4">
                  <c:v>211.11111111111111</c:v>
                </c:pt>
                <c:pt idx="5">
                  <c:v>250</c:v>
                </c:pt>
                <c:pt idx="6">
                  <c:v>144.44444444444446</c:v>
                </c:pt>
                <c:pt idx="7">
                  <c:v>18.181818181818183</c:v>
                </c:pt>
                <c:pt idx="8">
                  <c:v>266.66666666666669</c:v>
                </c:pt>
                <c:pt idx="9">
                  <c:v>22.222222222222221</c:v>
                </c:pt>
                <c:pt idx="10">
                  <c:v>66.666666666666671</c:v>
                </c:pt>
                <c:pt idx="11">
                  <c:v>91.666666666666671</c:v>
                </c:pt>
                <c:pt idx="12">
                  <c:v>154.54545454545453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21-4B38-8047-F99E74DABA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8056912"/>
        <c:axId val="678053072"/>
        <c:axId val="0"/>
      </c:bar3DChart>
      <c:catAx>
        <c:axId val="67805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8053072"/>
        <c:crosses val="autoZero"/>
        <c:auto val="1"/>
        <c:lblAlgn val="ctr"/>
        <c:lblOffset val="100"/>
        <c:noMultiLvlLbl val="0"/>
      </c:catAx>
      <c:valAx>
        <c:axId val="6780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80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2</xdr:row>
      <xdr:rowOff>76200</xdr:rowOff>
    </xdr:from>
    <xdr:to>
      <xdr:col>9</xdr:col>
      <xdr:colOff>371475</xdr:colOff>
      <xdr:row>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E8E755-2925-4C16-B868-769320BB3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1409700"/>
          <a:ext cx="1866900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228599</xdr:colOff>
      <xdr:row>18</xdr:row>
      <xdr:rowOff>170152</xdr:rowOff>
    </xdr:from>
    <xdr:to>
      <xdr:col>11</xdr:col>
      <xdr:colOff>295274</xdr:colOff>
      <xdr:row>23</xdr:row>
      <xdr:rowOff>59016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3F41F0-A69C-4FD7-8004-B8258C4C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4" y="7456777"/>
          <a:ext cx="3648075" cy="841364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38</xdr:row>
      <xdr:rowOff>38100</xdr:rowOff>
    </xdr:from>
    <xdr:to>
      <xdr:col>9</xdr:col>
      <xdr:colOff>285750</xdr:colOff>
      <xdr:row>41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85443A-726E-4867-BA79-CEC3B1655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14801850"/>
          <a:ext cx="1866900" cy="600075"/>
        </a:xfrm>
        <a:prstGeom prst="rect">
          <a:avLst/>
        </a:prstGeom>
      </xdr:spPr>
    </xdr:pic>
    <xdr:clientData/>
  </xdr:twoCellAnchor>
  <xdr:twoCellAnchor>
    <xdr:from>
      <xdr:col>16</xdr:col>
      <xdr:colOff>266700</xdr:colOff>
      <xdr:row>37</xdr:row>
      <xdr:rowOff>133349</xdr:rowOff>
    </xdr:from>
    <xdr:to>
      <xdr:col>24</xdr:col>
      <xdr:colOff>704850</xdr:colOff>
      <xdr:row>58</xdr:row>
      <xdr:rowOff>142874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D4BDA8-D7EC-87A5-1340-826562F21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133350</xdr:colOff>
      <xdr:row>57</xdr:row>
      <xdr:rowOff>123825</xdr:rowOff>
    </xdr:from>
    <xdr:to>
      <xdr:col>8</xdr:col>
      <xdr:colOff>419100</xdr:colOff>
      <xdr:row>63</xdr:row>
      <xdr:rowOff>161925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75A400-3202-E640-25AE-FE3D5E438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2411075"/>
          <a:ext cx="1181100" cy="1181100"/>
        </a:xfrm>
        <a:prstGeom prst="rect">
          <a:avLst/>
        </a:prstGeom>
        <a:solidFill>
          <a:schemeClr val="bg1">
            <a:lumMod val="75000"/>
          </a:scheme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2</xdr:row>
      <xdr:rowOff>171450</xdr:rowOff>
    </xdr:from>
    <xdr:to>
      <xdr:col>4</xdr:col>
      <xdr:colOff>148165</xdr:colOff>
      <xdr:row>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64D03B-5EC5-4C96-A551-7B23E9F92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552450"/>
          <a:ext cx="2548466" cy="8191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195</xdr:row>
      <xdr:rowOff>95250</xdr:rowOff>
    </xdr:from>
    <xdr:to>
      <xdr:col>14</xdr:col>
      <xdr:colOff>542925</xdr:colOff>
      <xdr:row>216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DDBDA0-714D-5CC9-B6A4-0030EC6E9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2</xdr:row>
      <xdr:rowOff>171450</xdr:rowOff>
    </xdr:from>
    <xdr:to>
      <xdr:col>4</xdr:col>
      <xdr:colOff>148165</xdr:colOff>
      <xdr:row>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72A812-BB0B-4CA3-B086-9FF580EE0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552450"/>
          <a:ext cx="2548466" cy="8191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169</xdr:row>
      <xdr:rowOff>95250</xdr:rowOff>
    </xdr:from>
    <xdr:to>
      <xdr:col>14</xdr:col>
      <xdr:colOff>542925</xdr:colOff>
      <xdr:row>190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49932B-4A11-42E8-A340-B80028108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00C17-70BE-427B-853C-3D6F34ED487B}" name="Tabla1" displayName="Tabla1" ref="H128:K137" totalsRowCount="1" headerRowDxfId="9" totalsRowDxfId="3">
  <tableColumns count="4">
    <tableColumn id="1" xr3:uid="{DFA16437-352D-4C8F-8C43-D0F7CA823A67}" name="MES" dataDxfId="8" totalsRowDxfId="4"/>
    <tableColumn id="2" xr3:uid="{7260EC2E-D377-4AA1-AA69-01CF760452AD}" name="PLANTILLA" dataDxfId="7" totalsRowDxfId="2"/>
    <tableColumn id="3" xr3:uid="{CE714B5B-A67B-4D98-911E-4BC64120A200}" name="BAJAS" dataDxfId="6" totalsRowDxfId="1"/>
    <tableColumn id="4" xr3:uid="{1402CBC1-C779-41BA-8FC3-544DE6D4EFE2}" name="ROTACIÓN" dataDxfId="5" totalsRowDxfId="0">
      <calculatedColumnFormula>J129*100/I129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D44A-D50A-4B0F-9B16-C4E53CD970C2}">
  <sheetPr>
    <tabColor rgb="FFFFFF00"/>
  </sheetPr>
  <dimension ref="A8:W684"/>
  <sheetViews>
    <sheetView showGridLines="0" workbookViewId="0">
      <selection activeCell="N56" sqref="N56"/>
    </sheetView>
  </sheetViews>
  <sheetFormatPr baseColWidth="10" defaultRowHeight="15" x14ac:dyDescent="0.25"/>
  <cols>
    <col min="1" max="1" width="10.140625" customWidth="1"/>
    <col min="2" max="13" width="6.7109375" customWidth="1"/>
    <col min="15" max="15" width="12.7109375" customWidth="1"/>
    <col min="18" max="18" width="16" customWidth="1"/>
    <col min="23" max="23" width="18" customWidth="1"/>
  </cols>
  <sheetData>
    <row r="8" spans="1:15" ht="18.75" x14ac:dyDescent="0.3">
      <c r="H8" s="2" t="s">
        <v>9</v>
      </c>
      <c r="I8" s="2"/>
      <c r="J8" s="2"/>
      <c r="K8" s="2"/>
    </row>
    <row r="9" spans="1:15" x14ac:dyDescent="0.25">
      <c r="F9" s="47"/>
      <c r="G9" s="47"/>
      <c r="H9" s="47"/>
      <c r="I9" s="47"/>
      <c r="J9" s="47"/>
    </row>
    <row r="10" spans="1:15" x14ac:dyDescent="0.25"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</row>
    <row r="11" spans="1:15" x14ac:dyDescent="0.25">
      <c r="A11" s="4" t="s">
        <v>23</v>
      </c>
      <c r="B11" s="5">
        <f>SUM('INDICADOR X SUCURSAL 2025'!B11+'INDICADOR X SUCURSAL 2025'!B20+'INDICADOR X SUCURSAL 2025'!B29+'INDICADOR X SUCURSAL 2025'!B38+'INDICADOR X SUCURSAL 2025'!B46+'INDICADOR X SUCURSAL 2025'!B55+'INDICADOR X SUCURSAL 2025'!B64+'INDICADOR X SUCURSAL 2025'!B72+'INDICADOR X SUCURSAL 2025'!B81+'INDICADOR X SUCURSAL 2025'!B90+'INDICADOR X SUCURSAL 2025'!B100+'INDICADOR X SUCURSAL 2025'!B111+'INDICADOR X SUCURSAL 2025'!B121+'INDICADOR X SUCURSAL 2025'!B132)</f>
        <v>22</v>
      </c>
      <c r="C11" s="5">
        <f>SUM('INDICADOR X SUCURSAL 2025'!C11+'INDICADOR X SUCURSAL 2025'!C20+'INDICADOR X SUCURSAL 2025'!C29+'INDICADOR X SUCURSAL 2025'!C38+'INDICADOR X SUCURSAL 2025'!C46+'INDICADOR X SUCURSAL 2025'!C55+'INDICADOR X SUCURSAL 2025'!C64+'INDICADOR X SUCURSAL 2025'!C72+'INDICADOR X SUCURSAL 2025'!C81+'INDICADOR X SUCURSAL 2025'!C90+'INDICADOR X SUCURSAL 2025'!C100+'INDICADOR X SUCURSAL 2025'!C111+'INDICADOR X SUCURSAL 2025'!C121+'INDICADOR X SUCURSAL 2025'!C132+'INDICADOR X SUCURSAL 2025'!C141)</f>
        <v>14</v>
      </c>
      <c r="D11" s="5">
        <f>SUM('INDICADOR X SUCURSAL 2025'!D11+'INDICADOR X SUCURSAL 2025'!D20+'INDICADOR X SUCURSAL 2025'!D29+'INDICADOR X SUCURSAL 2025'!D38+'INDICADOR X SUCURSAL 2025'!D46+'INDICADOR X SUCURSAL 2025'!D55+'INDICADOR X SUCURSAL 2025'!D64+'INDICADOR X SUCURSAL 2025'!D72+'INDICADOR X SUCURSAL 2025'!D81+'INDICADOR X SUCURSAL 2025'!D90+'INDICADOR X SUCURSAL 2025'!D100+'INDICADOR X SUCURSAL 2025'!D111+'INDICADOR X SUCURSAL 2025'!D121+'INDICADOR X SUCURSAL 2025'!D132+'INDICADOR X SUCURSAL 2025'!D141)</f>
        <v>11</v>
      </c>
      <c r="E11" s="5">
        <f>SUM('INDICADOR X SUCURSAL 2025'!E11+'INDICADOR X SUCURSAL 2025'!E20+'INDICADOR X SUCURSAL 2025'!E29+'INDICADOR X SUCURSAL 2025'!E38+'INDICADOR X SUCURSAL 2025'!E46+'INDICADOR X SUCURSAL 2025'!E55+'INDICADOR X SUCURSAL 2025'!E64+'INDICADOR X SUCURSAL 2025'!E72+'INDICADOR X SUCURSAL 2025'!E81+'INDICADOR X SUCURSAL 2025'!E90+'INDICADOR X SUCURSAL 2025'!E100+'INDICADOR X SUCURSAL 2025'!E111+'INDICADOR X SUCURSAL 2025'!E121+'INDICADOR X SUCURSAL 2025'!E132+'INDICADOR X SUCURSAL 2025'!E141)</f>
        <v>9</v>
      </c>
      <c r="F11" s="5">
        <f>SUM('INDICADOR X SUCURSAL 2025'!F141+'INDICADOR X SUCURSAL 2025'!F132+'INDICADOR X SUCURSAL 2025'!F121+'INDICADOR X SUCURSAL 2025'!F111+'INDICADOR X SUCURSAL 2025'!F100+'INDICADOR X SUCURSAL 2025'!F90+'INDICADOR X SUCURSAL 2025'!F81+'INDICADOR X SUCURSAL 2025'!F72+'INDICADOR X SUCURSAL 2025'!F64+'INDICADOR X SUCURSAL 2025'!F55+'INDICADOR X SUCURSAL 2025'!F46+'INDICADOR X SUCURSAL 2025'!F38+'INDICADOR X SUCURSAL 2025'!F29+'INDICADOR X SUCURSAL 2025'!F20+'INDICADOR X SUCURSAL 2025'!F11)</f>
        <v>9</v>
      </c>
      <c r="G11" s="5">
        <f>SUM('INDICADOR X SUCURSAL 2025'!G11+'INDICADOR X SUCURSAL 2025'!G20+'INDICADOR X SUCURSAL 2025'!G29+'INDICADOR X SUCURSAL 2025'!G38+'INDICADOR X SUCURSAL 2025'!G46+'INDICADOR X SUCURSAL 2025'!G55+'INDICADOR X SUCURSAL 2025'!G64+'INDICADOR X SUCURSAL 2025'!G72+'INDICADOR X SUCURSAL 2025'!G81+'INDICADOR X SUCURSAL 2025'!G90+'INDICADOR X SUCURSAL 2025'!G100+'INDICADOR X SUCURSAL 2025'!G111+'INDICADOR X SUCURSAL 2025'!G121+'INDICADOR X SUCURSAL 2025'!G132+'INDICADOR X SUCURSAL 2025'!G141)</f>
        <v>14</v>
      </c>
      <c r="H11" s="5">
        <f>SUM('INDICADOR X SUCURSAL 2025'!H11+'INDICADOR X SUCURSAL 2025'!H20+'INDICADOR X SUCURSAL 2025'!H29+'INDICADOR X SUCURSAL 2025'!H38+'INDICADOR X SUCURSAL 2025'!H46+'INDICADOR X SUCURSAL 2025'!H55+'INDICADOR X SUCURSAL 2025'!H64+'INDICADOR X SUCURSAL 2025'!H72+'INDICADOR X SUCURSAL 2025'!H81+'INDICADOR X SUCURSAL 2025'!H90+'INDICADOR X SUCURSAL 2025'!H100+'INDICADOR X SUCURSAL 2025'!H111+'INDICADOR X SUCURSAL 2025'!H121+'INDICADOR X SUCURSAL 2025'!H132+'INDICADOR X SUCURSAL 2025'!H141)</f>
        <v>22</v>
      </c>
      <c r="I11" s="5">
        <f>SUM('INDICADOR X SUCURSAL 2025'!I11+'INDICADOR X SUCURSAL 2025'!I20+'INDICADOR X SUCURSAL 2025'!I29+'INDICADOR X SUCURSAL 2025'!I38+'INDICADOR X SUCURSAL 2025'!I46+'INDICADOR X SUCURSAL 2025'!I55+'INDICADOR X SUCURSAL 2025'!I64+'INDICADOR X SUCURSAL 2025'!I72+'INDICADOR X SUCURSAL 2025'!I81+'INDICADOR X SUCURSAL 2025'!I90+'INDICADOR X SUCURSAL 2025'!I100+'INDICADOR X SUCURSAL 2025'!I111+'INDICADOR X SUCURSAL 2025'!I121+'INDICADOR X SUCURSAL 2025'!I132+'INDICADOR X SUCURSAL 2025'!I141)</f>
        <v>7</v>
      </c>
      <c r="J11" s="5">
        <v>16</v>
      </c>
      <c r="K11" s="5">
        <f>'INDICADOR X SUCURSAL 2025'!K11+'INDICADOR X SUCURSAL 2025'!K20+'INDICADOR X SUCURSAL 2025'!K29+'INDICADOR X SUCURSAL 2025'!K38+'INDICADOR X SUCURSAL 2025'!K46+'INDICADOR X SUCURSAL 2025'!K55+'INDICADOR X SUCURSAL 2025'!K64+'INDICADOR X SUCURSAL 2025'!K72+'INDICADOR X SUCURSAL 2025'!K81+'INDICADOR X SUCURSAL 2025'!K90+'INDICADOR X SUCURSAL 2025'!K100+'INDICADOR X SUCURSAL 2025'!K111+'INDICADOR X SUCURSAL 2025'!K121+'INDICADOR X SUCURSAL 2025'!K132+'INDICADOR X SUCURSAL 2025'!K141</f>
        <v>15</v>
      </c>
      <c r="L11" s="5">
        <f>SUM('INDICADOR X SUCURSAL 2025'!L11+'INDICADOR X SUCURSAL 2025'!L20+'INDICADOR X SUCURSAL 2025'!L29+'INDICADOR X SUCURSAL 2025'!L38+'INDICADOR X SUCURSAL 2025'!L46+'INDICADOR X SUCURSAL 2025'!L55+'INDICADOR X SUCURSAL 2025'!L64+'INDICADOR X SUCURSAL 2025'!L72+'INDICADOR X SUCURSAL 2025'!L81+'INDICADOR X SUCURSAL 2025'!L90+'INDICADOR X SUCURSAL 2025'!L100+'INDICADOR X SUCURSAL 2025'!L111+'INDICADOR X SUCURSAL 2025'!L121+'INDICADOR X SUCURSAL 2025'!L132+'INDICADOR X SUCURSAL 2025'!L141+'INDICADOR X SUCURSAL 2025'!L150)</f>
        <v>8</v>
      </c>
      <c r="M11" s="5"/>
      <c r="N11" s="6">
        <f>SUM(B11:M11)</f>
        <v>147</v>
      </c>
    </row>
    <row r="12" spans="1:15" x14ac:dyDescent="0.25">
      <c r="A12" s="4" t="s">
        <v>24</v>
      </c>
      <c r="B12" s="7">
        <f>'INDICADOR X SUCURSAL 2025'!D155</f>
        <v>13</v>
      </c>
      <c r="C12" s="7">
        <f>'INDICADOR X SUCURSAL 2025'!D156</f>
        <v>9</v>
      </c>
      <c r="D12" s="7">
        <f>'INDICADOR X SUCURSAL 2025'!D157</f>
        <v>5</v>
      </c>
      <c r="E12" s="7">
        <f>'INDICADOR X SUCURSAL 2025'!D158</f>
        <v>15</v>
      </c>
      <c r="F12" s="7">
        <f>'INDICADOR X SUCURSAL 2025'!D159</f>
        <v>13</v>
      </c>
      <c r="G12" s="7">
        <f>'INDICADOR X SUCURSAL 2025'!D160</f>
        <v>18</v>
      </c>
      <c r="H12" s="7">
        <f>'INDICADOR X SUCURSAL 2025'!D161</f>
        <v>13</v>
      </c>
      <c r="I12" s="7">
        <f>'INDICADOR X SUCURSAL 2025'!D162</f>
        <v>10</v>
      </c>
      <c r="J12" s="7">
        <v>12</v>
      </c>
      <c r="K12" s="7">
        <f>'INDICADOR X SUCURSAL 2025'!K12+'INDICADOR X SUCURSAL 2025'!K21+'INDICADOR X SUCURSAL 2025'!K30+'INDICADOR X SUCURSAL 2025'!K39+'INDICADOR X SUCURSAL 2025'!K47+'INDICADOR X SUCURSAL 2025'!K56+'INDICADOR X SUCURSAL 2025'!K65+'INDICADOR X SUCURSAL 2025'!K73+'INDICADOR X SUCURSAL 2025'!K82+'INDICADOR X SUCURSAL 2025'!K91+'INDICADOR X SUCURSAL 2025'!K101+'INDICADOR X SUCURSAL 2025'!K112+'INDICADOR X SUCURSAL 2025'!K122+'INDICADOR X SUCURSAL 2025'!K133+'INDICADOR X SUCURSAL 2025'!K142</f>
        <v>16</v>
      </c>
      <c r="L12" s="7">
        <f>'INDICADOR X SUCURSAL 2025'!L12+'INDICADOR X SUCURSAL 2025'!L21+'INDICADOR X SUCURSAL 2025'!L30+'INDICADOR X SUCURSAL 2025'!L39+'INDICADOR X SUCURSAL 2025'!L47+'INDICADOR X SUCURSAL 2025'!L56+'INDICADOR X SUCURSAL 2025'!L65+'INDICADOR X SUCURSAL 2025'!L73+'INDICADOR X SUCURSAL 2025'!L82+'INDICADOR X SUCURSAL 2025'!L91+'INDICADOR X SUCURSAL 2025'!L101+'INDICADOR X SUCURSAL 2025'!L112+'INDICADOR X SUCURSAL 2025'!L122+'INDICADOR X SUCURSAL 2025'!L133+'INDICADOR X SUCURSAL 2025'!L142</f>
        <v>6</v>
      </c>
      <c r="M12" s="7">
        <f>'INDICADOR X SUCURSAL 2025'!N156</f>
        <v>0</v>
      </c>
      <c r="N12" s="6">
        <v>119</v>
      </c>
    </row>
    <row r="13" spans="1:15" x14ac:dyDescent="0.25">
      <c r="A13" s="4" t="s">
        <v>25</v>
      </c>
      <c r="B13" s="5">
        <f>A14+B11-B12</f>
        <v>136</v>
      </c>
      <c r="C13" s="5">
        <f>B13+C11-C12</f>
        <v>141</v>
      </c>
      <c r="D13" s="5">
        <f t="shared" ref="D13:L13" si="0">C13+D11-D12</f>
        <v>147</v>
      </c>
      <c r="E13" s="5">
        <f t="shared" si="0"/>
        <v>141</v>
      </c>
      <c r="F13" s="5">
        <f t="shared" si="0"/>
        <v>137</v>
      </c>
      <c r="G13" s="5">
        <f t="shared" si="0"/>
        <v>133</v>
      </c>
      <c r="H13" s="5">
        <f t="shared" si="0"/>
        <v>142</v>
      </c>
      <c r="I13" s="5">
        <f t="shared" si="0"/>
        <v>139</v>
      </c>
      <c r="J13" s="5">
        <f t="shared" si="0"/>
        <v>143</v>
      </c>
      <c r="K13" s="5">
        <f t="shared" si="0"/>
        <v>142</v>
      </c>
      <c r="L13" s="5">
        <f t="shared" si="0"/>
        <v>144</v>
      </c>
      <c r="M13" s="5"/>
      <c r="N13" s="6">
        <v>144</v>
      </c>
    </row>
    <row r="14" spans="1:15" x14ac:dyDescent="0.25">
      <c r="A14" s="6">
        <v>127</v>
      </c>
    </row>
    <row r="15" spans="1:15" ht="30" x14ac:dyDescent="0.25">
      <c r="A15" s="4" t="s">
        <v>26</v>
      </c>
      <c r="B15" s="8">
        <f>B12*100/B13</f>
        <v>9.5588235294117645</v>
      </c>
      <c r="C15" s="8">
        <f t="shared" ref="C15:L15" si="1">C12*100/C13</f>
        <v>6.3829787234042552</v>
      </c>
      <c r="D15" s="8">
        <f t="shared" si="1"/>
        <v>3.4013605442176869</v>
      </c>
      <c r="E15" s="8">
        <f t="shared" si="1"/>
        <v>10.638297872340425</v>
      </c>
      <c r="F15" s="8">
        <f t="shared" si="1"/>
        <v>9.4890510948905114</v>
      </c>
      <c r="G15" s="8">
        <f t="shared" si="1"/>
        <v>13.533834586466165</v>
      </c>
      <c r="H15" s="8">
        <f t="shared" si="1"/>
        <v>9.1549295774647881</v>
      </c>
      <c r="I15" s="8">
        <f t="shared" si="1"/>
        <v>7.1942446043165464</v>
      </c>
      <c r="J15" s="8">
        <f t="shared" si="1"/>
        <v>8.3916083916083917</v>
      </c>
      <c r="K15" s="8">
        <f t="shared" si="1"/>
        <v>11.267605633802816</v>
      </c>
      <c r="L15" s="8">
        <f t="shared" si="1"/>
        <v>4.166666666666667</v>
      </c>
      <c r="M15" s="9"/>
      <c r="N15" s="14">
        <v>7.55</v>
      </c>
      <c r="O15" s="10" t="s">
        <v>27</v>
      </c>
    </row>
    <row r="16" spans="1:15" ht="30" x14ac:dyDescent="0.25">
      <c r="N16" s="11">
        <f>N12*100/N13</f>
        <v>82.638888888888886</v>
      </c>
      <c r="O16" s="10" t="s">
        <v>28</v>
      </c>
    </row>
    <row r="18" spans="1:23" x14ac:dyDescent="0.25">
      <c r="V18" s="12"/>
      <c r="W18" s="10"/>
    </row>
    <row r="19" spans="1:23" x14ac:dyDescent="0.25">
      <c r="V19" s="12"/>
      <c r="W19" s="10"/>
    </row>
    <row r="20" spans="1:23" x14ac:dyDescent="0.25">
      <c r="V20" s="12"/>
      <c r="W20" s="10"/>
    </row>
    <row r="21" spans="1:23" x14ac:dyDescent="0.25">
      <c r="V21" s="12"/>
      <c r="W21" s="10"/>
    </row>
    <row r="22" spans="1:23" x14ac:dyDescent="0.25">
      <c r="V22" s="12"/>
      <c r="W22" s="10"/>
    </row>
    <row r="23" spans="1:23" x14ac:dyDescent="0.25">
      <c r="V23" s="12"/>
      <c r="W23" s="10"/>
    </row>
    <row r="24" spans="1:23" x14ac:dyDescent="0.25">
      <c r="V24" s="12"/>
      <c r="W24" s="10"/>
    </row>
    <row r="25" spans="1:23" ht="18.75" x14ac:dyDescent="0.3">
      <c r="H25" s="2" t="s">
        <v>9</v>
      </c>
      <c r="I25" s="2"/>
      <c r="J25" s="2"/>
      <c r="K25" s="2"/>
      <c r="V25" s="12"/>
      <c r="W25" s="10"/>
    </row>
    <row r="26" spans="1:23" x14ac:dyDescent="0.25">
      <c r="V26" s="12"/>
      <c r="W26" s="10"/>
    </row>
    <row r="27" spans="1:23" x14ac:dyDescent="0.25">
      <c r="B27" s="13" t="s">
        <v>10</v>
      </c>
      <c r="C27" s="13" t="s">
        <v>11</v>
      </c>
      <c r="D27" s="13" t="s">
        <v>12</v>
      </c>
      <c r="E27" s="13" t="s">
        <v>13</v>
      </c>
      <c r="F27" s="13" t="s">
        <v>14</v>
      </c>
      <c r="G27" s="13" t="s">
        <v>15</v>
      </c>
      <c r="H27" s="13" t="s">
        <v>16</v>
      </c>
      <c r="I27" s="13" t="s">
        <v>17</v>
      </c>
      <c r="J27" s="13" t="s">
        <v>18</v>
      </c>
      <c r="K27" s="13" t="s">
        <v>19</v>
      </c>
      <c r="L27" s="13" t="s">
        <v>20</v>
      </c>
      <c r="M27" s="13" t="s">
        <v>21</v>
      </c>
      <c r="N27" s="13" t="s">
        <v>22</v>
      </c>
      <c r="V27" s="12"/>
      <c r="W27" s="10"/>
    </row>
    <row r="28" spans="1:23" x14ac:dyDescent="0.25">
      <c r="A28" s="4" t="s">
        <v>23</v>
      </c>
      <c r="B28" s="5">
        <v>19</v>
      </c>
      <c r="C28" s="5"/>
      <c r="D28" s="5"/>
      <c r="E28" s="5"/>
      <c r="F28" s="5"/>
      <c r="G28" s="5">
        <v>9</v>
      </c>
      <c r="H28" s="5">
        <v>12</v>
      </c>
      <c r="I28" s="5">
        <v>6</v>
      </c>
      <c r="J28" s="5"/>
      <c r="K28" s="5">
        <v>3</v>
      </c>
      <c r="L28" s="5">
        <v>7</v>
      </c>
      <c r="M28" s="5"/>
      <c r="N28" s="6">
        <f>SUM(B28:M28)</f>
        <v>56</v>
      </c>
      <c r="V28" s="12"/>
      <c r="W28" s="10"/>
    </row>
    <row r="29" spans="1:23" x14ac:dyDescent="0.25">
      <c r="A29" s="4" t="s">
        <v>24</v>
      </c>
      <c r="B29" s="7">
        <v>11</v>
      </c>
      <c r="C29" s="7"/>
      <c r="D29" s="7"/>
      <c r="E29" s="7"/>
      <c r="F29" s="7"/>
      <c r="G29" s="7"/>
      <c r="H29" s="7"/>
      <c r="I29" s="7">
        <v>10</v>
      </c>
      <c r="J29" s="7"/>
      <c r="K29" s="7">
        <v>10</v>
      </c>
      <c r="L29" s="7">
        <v>7</v>
      </c>
      <c r="M29" s="7"/>
      <c r="N29" s="6">
        <f>SUM(B29:M29)</f>
        <v>38</v>
      </c>
      <c r="V29" s="12"/>
      <c r="W29" s="10"/>
    </row>
    <row r="30" spans="1:23" x14ac:dyDescent="0.25">
      <c r="A30" s="4" t="s">
        <v>25</v>
      </c>
      <c r="B30" s="5">
        <f>A31+B28-B29</f>
        <v>87</v>
      </c>
      <c r="C30" s="5"/>
      <c r="D30" s="5"/>
      <c r="E30" s="5"/>
      <c r="F30" s="5"/>
      <c r="G30" s="5"/>
      <c r="H30" s="5"/>
      <c r="I30" s="5">
        <f>A31+I28-I29</f>
        <v>75</v>
      </c>
      <c r="J30" s="5">
        <v>77</v>
      </c>
      <c r="K30" s="5">
        <f>J30+K28-K29</f>
        <v>70</v>
      </c>
      <c r="L30" s="5">
        <f>K30+L28-L29</f>
        <v>70</v>
      </c>
      <c r="M30" s="5"/>
      <c r="N30" s="6">
        <f>A31+N28-N29</f>
        <v>97</v>
      </c>
      <c r="V30" s="12"/>
      <c r="W30" s="10"/>
    </row>
    <row r="31" spans="1:23" x14ac:dyDescent="0.25">
      <c r="A31" s="6">
        <v>79</v>
      </c>
      <c r="V31" s="12"/>
      <c r="W31" s="10"/>
    </row>
    <row r="32" spans="1:23" ht="30" x14ac:dyDescent="0.25">
      <c r="A32" s="4" t="s">
        <v>26</v>
      </c>
      <c r="B32" s="8">
        <f>B29*100/B30</f>
        <v>12.64367816091954</v>
      </c>
      <c r="C32" s="8"/>
      <c r="D32" s="8"/>
      <c r="E32" s="8"/>
      <c r="F32" s="8"/>
      <c r="G32" s="8"/>
      <c r="H32" s="8"/>
      <c r="I32" s="8">
        <f>I29*100/I30</f>
        <v>13.333333333333334</v>
      </c>
      <c r="J32" s="8">
        <f t="shared" ref="J32:L32" si="2">J29*100/J30</f>
        <v>0</v>
      </c>
      <c r="K32" s="8">
        <f t="shared" si="2"/>
        <v>14.285714285714286</v>
      </c>
      <c r="L32" s="8">
        <f t="shared" si="2"/>
        <v>10</v>
      </c>
      <c r="M32" s="9"/>
      <c r="N32" s="14">
        <f>B32</f>
        <v>12.64367816091954</v>
      </c>
      <c r="O32" s="10" t="s">
        <v>27</v>
      </c>
      <c r="V32" s="12"/>
      <c r="W32" s="10"/>
    </row>
    <row r="33" spans="6:23" ht="30" x14ac:dyDescent="0.25">
      <c r="N33" s="11">
        <f>N29*100/N30</f>
        <v>39.175257731958766</v>
      </c>
      <c r="O33" s="10" t="s">
        <v>28</v>
      </c>
      <c r="V33" s="12"/>
      <c r="W33" s="10"/>
    </row>
    <row r="34" spans="6:23" x14ac:dyDescent="0.25">
      <c r="V34" s="12"/>
      <c r="W34" s="10"/>
    </row>
    <row r="36" spans="6:23" x14ac:dyDescent="0.25">
      <c r="G36" s="1"/>
      <c r="H36" s="1"/>
    </row>
    <row r="37" spans="6:23" x14ac:dyDescent="0.25">
      <c r="G37" s="1"/>
      <c r="H37" s="1"/>
    </row>
    <row r="38" spans="6:23" x14ac:dyDescent="0.25">
      <c r="G38" s="1"/>
      <c r="H38" s="1"/>
    </row>
    <row r="39" spans="6:23" x14ac:dyDescent="0.25">
      <c r="G39" s="1"/>
      <c r="H39" s="1"/>
    </row>
    <row r="40" spans="6:23" x14ac:dyDescent="0.25">
      <c r="G40" s="1"/>
      <c r="H40" s="1"/>
    </row>
    <row r="44" spans="6:23" ht="26.25" x14ac:dyDescent="0.4">
      <c r="F44" s="46" t="s">
        <v>29</v>
      </c>
      <c r="G44" s="46"/>
      <c r="H44" s="46"/>
      <c r="I44" s="46"/>
      <c r="J44" s="46"/>
    </row>
    <row r="47" spans="6:23" ht="18.75" x14ac:dyDescent="0.3">
      <c r="H47" s="2" t="s">
        <v>9</v>
      </c>
      <c r="I47" s="2"/>
      <c r="J47" s="2"/>
      <c r="K47" s="2"/>
    </row>
    <row r="49" spans="1:15" x14ac:dyDescent="0.25">
      <c r="B49" s="13" t="s">
        <v>10</v>
      </c>
      <c r="C49" s="13" t="s">
        <v>11</v>
      </c>
      <c r="D49" s="13" t="s">
        <v>12</v>
      </c>
      <c r="E49" s="13" t="s">
        <v>13</v>
      </c>
      <c r="F49" s="13" t="s">
        <v>14</v>
      </c>
      <c r="G49" s="13" t="s">
        <v>15</v>
      </c>
      <c r="H49" s="13" t="s">
        <v>16</v>
      </c>
      <c r="I49" s="13" t="s">
        <v>17</v>
      </c>
      <c r="J49" s="13" t="s">
        <v>18</v>
      </c>
      <c r="K49" s="13" t="s">
        <v>19</v>
      </c>
      <c r="L49" s="13" t="s">
        <v>20</v>
      </c>
      <c r="M49" s="13" t="s">
        <v>21</v>
      </c>
      <c r="N49" s="13" t="s">
        <v>22</v>
      </c>
    </row>
    <row r="50" spans="1:15" x14ac:dyDescent="0.25">
      <c r="A50" s="4" t="s">
        <v>23</v>
      </c>
      <c r="B50" s="5">
        <v>1</v>
      </c>
      <c r="C50" s="5">
        <v>0</v>
      </c>
      <c r="D50" s="5">
        <v>2</v>
      </c>
      <c r="E50" s="5">
        <v>3</v>
      </c>
      <c r="F50" s="5">
        <v>2</v>
      </c>
      <c r="G50" s="5">
        <v>4</v>
      </c>
      <c r="H50" s="5">
        <v>2</v>
      </c>
      <c r="I50" s="5">
        <v>3</v>
      </c>
      <c r="J50" s="5">
        <v>0</v>
      </c>
      <c r="K50" s="5">
        <v>6</v>
      </c>
      <c r="L50" s="5">
        <v>1</v>
      </c>
      <c r="M50" s="5"/>
      <c r="N50" s="6">
        <f>SUM(B50:M50)</f>
        <v>24</v>
      </c>
    </row>
    <row r="51" spans="1:15" x14ac:dyDescent="0.25">
      <c r="A51" s="4" t="s">
        <v>24</v>
      </c>
      <c r="B51" s="7">
        <v>4</v>
      </c>
      <c r="C51" s="7">
        <v>5</v>
      </c>
      <c r="D51" s="7">
        <v>4</v>
      </c>
      <c r="E51" s="7">
        <v>2</v>
      </c>
      <c r="F51" s="7">
        <v>2</v>
      </c>
      <c r="G51" s="7">
        <v>2</v>
      </c>
      <c r="H51" s="7">
        <v>2</v>
      </c>
      <c r="I51" s="7">
        <v>3</v>
      </c>
      <c r="J51" s="7">
        <v>3</v>
      </c>
      <c r="K51" s="7">
        <v>0</v>
      </c>
      <c r="L51" s="7">
        <v>1</v>
      </c>
      <c r="M51" s="7"/>
      <c r="N51" s="6">
        <v>19</v>
      </c>
    </row>
    <row r="52" spans="1:15" x14ac:dyDescent="0.25">
      <c r="A52" s="4" t="s">
        <v>25</v>
      </c>
      <c r="B52" s="5">
        <f>A53+B50-B51</f>
        <v>39</v>
      </c>
      <c r="C52" s="5">
        <f>B52+C50-C51</f>
        <v>34</v>
      </c>
      <c r="D52" s="5">
        <f t="shared" ref="D52:F52" si="3">C52+D50-D51</f>
        <v>32</v>
      </c>
      <c r="E52" s="5">
        <f t="shared" si="3"/>
        <v>33</v>
      </c>
      <c r="F52" s="5">
        <f t="shared" si="3"/>
        <v>33</v>
      </c>
      <c r="G52" s="5">
        <f>F52+G50-G51</f>
        <v>35</v>
      </c>
      <c r="H52" s="5">
        <f>G52+H50-H51</f>
        <v>35</v>
      </c>
      <c r="I52" s="5">
        <f>H52+I50-I51</f>
        <v>35</v>
      </c>
      <c r="J52" s="5">
        <f t="shared" ref="J52:L52" si="4">I52+J50-J51</f>
        <v>32</v>
      </c>
      <c r="K52" s="5">
        <f t="shared" si="4"/>
        <v>38</v>
      </c>
      <c r="L52" s="5">
        <f t="shared" si="4"/>
        <v>38</v>
      </c>
      <c r="M52" s="5"/>
      <c r="N52" s="6">
        <v>38</v>
      </c>
    </row>
    <row r="53" spans="1:15" x14ac:dyDescent="0.25">
      <c r="A53" s="6">
        <v>42</v>
      </c>
    </row>
    <row r="54" spans="1:15" ht="30" x14ac:dyDescent="0.25">
      <c r="A54" s="4" t="s">
        <v>26</v>
      </c>
      <c r="B54" s="40">
        <f>B51*100/B52</f>
        <v>10.256410256410257</v>
      </c>
      <c r="C54" s="40">
        <f t="shared" ref="C54:L54" si="5">C51*100/C52</f>
        <v>14.705882352941176</v>
      </c>
      <c r="D54" s="40">
        <f t="shared" si="5"/>
        <v>12.5</v>
      </c>
      <c r="E54" s="40">
        <f t="shared" si="5"/>
        <v>6.0606060606060606</v>
      </c>
      <c r="F54" s="40">
        <f t="shared" si="5"/>
        <v>6.0606060606060606</v>
      </c>
      <c r="G54" s="40">
        <f t="shared" si="5"/>
        <v>5.7142857142857144</v>
      </c>
      <c r="H54" s="40">
        <f t="shared" si="5"/>
        <v>5.7142857142857144</v>
      </c>
      <c r="I54" s="40">
        <f t="shared" si="5"/>
        <v>8.5714285714285712</v>
      </c>
      <c r="J54" s="40">
        <f t="shared" si="5"/>
        <v>9.375</v>
      </c>
      <c r="K54" s="40">
        <f t="shared" si="5"/>
        <v>0</v>
      </c>
      <c r="L54" s="40">
        <f t="shared" si="5"/>
        <v>2.6315789473684212</v>
      </c>
      <c r="M54" s="9"/>
      <c r="N54" s="14">
        <v>8.6999999999999993</v>
      </c>
      <c r="O54" s="10" t="s">
        <v>27</v>
      </c>
    </row>
    <row r="55" spans="1:15" ht="30" x14ac:dyDescent="0.25">
      <c r="N55" s="11">
        <f>N51*100/N52</f>
        <v>50</v>
      </c>
      <c r="O55" s="10" t="s">
        <v>28</v>
      </c>
    </row>
    <row r="56" spans="1:15" x14ac:dyDescent="0.25">
      <c r="N56" s="12"/>
      <c r="O56" s="10"/>
    </row>
    <row r="57" spans="1:15" x14ac:dyDescent="0.25">
      <c r="N57" s="12"/>
      <c r="O57" s="10"/>
    </row>
    <row r="58" spans="1:15" x14ac:dyDescent="0.25">
      <c r="N58" s="12"/>
      <c r="O58" s="10"/>
    </row>
    <row r="61" spans="1:15" x14ac:dyDescent="0.25">
      <c r="G61" s="1"/>
      <c r="H61" s="1"/>
    </row>
    <row r="62" spans="1:15" x14ac:dyDescent="0.25">
      <c r="G62" s="1"/>
      <c r="H62" s="1"/>
    </row>
    <row r="63" spans="1:15" x14ac:dyDescent="0.25">
      <c r="G63" s="1"/>
      <c r="H63" s="1"/>
      <c r="N63" t="s">
        <v>49</v>
      </c>
    </row>
    <row r="64" spans="1:15" x14ac:dyDescent="0.25">
      <c r="G64" s="1"/>
      <c r="H64" s="1"/>
    </row>
    <row r="65" spans="1:15" ht="18.75" x14ac:dyDescent="0.3">
      <c r="H65" s="2" t="s">
        <v>9</v>
      </c>
      <c r="I65" s="2"/>
      <c r="J65" s="2"/>
      <c r="K65" s="2"/>
    </row>
    <row r="67" spans="1:15" x14ac:dyDescent="0.25">
      <c r="B67" s="13" t="s">
        <v>10</v>
      </c>
      <c r="C67" s="13" t="s">
        <v>11</v>
      </c>
      <c r="D67" s="13" t="s">
        <v>12</v>
      </c>
      <c r="E67" s="13" t="s">
        <v>13</v>
      </c>
      <c r="F67" s="13" t="s">
        <v>14</v>
      </c>
      <c r="G67" s="13" t="s">
        <v>15</v>
      </c>
      <c r="H67" s="13" t="s">
        <v>16</v>
      </c>
      <c r="I67" s="13" t="s">
        <v>17</v>
      </c>
      <c r="J67" s="13" t="s">
        <v>18</v>
      </c>
      <c r="K67" s="13" t="s">
        <v>19</v>
      </c>
      <c r="L67" s="13" t="s">
        <v>20</v>
      </c>
      <c r="M67" s="13" t="s">
        <v>21</v>
      </c>
      <c r="N67" s="13" t="s">
        <v>22</v>
      </c>
    </row>
    <row r="68" spans="1:15" x14ac:dyDescent="0.25">
      <c r="A68" s="4" t="s">
        <v>23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15</v>
      </c>
      <c r="H68" s="5">
        <v>3</v>
      </c>
      <c r="I68" s="5">
        <v>2</v>
      </c>
      <c r="J68" s="5">
        <v>3</v>
      </c>
      <c r="K68" s="5">
        <v>1</v>
      </c>
      <c r="L68" s="5">
        <v>0</v>
      </c>
      <c r="M68" s="5"/>
      <c r="N68" s="6">
        <f>SUM(B68:M68)</f>
        <v>24</v>
      </c>
    </row>
    <row r="69" spans="1:15" x14ac:dyDescent="0.25">
      <c r="A69" s="4" t="s">
        <v>24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4</v>
      </c>
      <c r="H69" s="7">
        <v>2</v>
      </c>
      <c r="I69" s="7">
        <v>6</v>
      </c>
      <c r="J69" s="7">
        <v>3</v>
      </c>
      <c r="K69" s="7">
        <v>2</v>
      </c>
      <c r="L69" s="7">
        <v>0</v>
      </c>
      <c r="M69" s="7"/>
      <c r="N69" s="6">
        <f>SUM(B69:M69)</f>
        <v>17</v>
      </c>
    </row>
    <row r="70" spans="1:15" x14ac:dyDescent="0.25">
      <c r="A70" s="4" t="s">
        <v>25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f>G68-G69</f>
        <v>11</v>
      </c>
      <c r="H70" s="5">
        <f>G70+H68-H69</f>
        <v>12</v>
      </c>
      <c r="I70" s="5">
        <f t="shared" ref="I70:L70" si="6">H70+I68-I69</f>
        <v>8</v>
      </c>
      <c r="J70" s="5">
        <f t="shared" si="6"/>
        <v>8</v>
      </c>
      <c r="K70" s="5">
        <f t="shared" si="6"/>
        <v>7</v>
      </c>
      <c r="L70" s="5">
        <f t="shared" si="6"/>
        <v>7</v>
      </c>
      <c r="M70" s="5"/>
      <c r="N70" s="6">
        <f>N68-N69</f>
        <v>7</v>
      </c>
    </row>
    <row r="71" spans="1:15" x14ac:dyDescent="0.25">
      <c r="A71" s="6">
        <v>15</v>
      </c>
    </row>
    <row r="72" spans="1:15" ht="30" x14ac:dyDescent="0.25">
      <c r="A72" s="4" t="s">
        <v>26</v>
      </c>
      <c r="B72" s="8" t="e">
        <f>B69*100/B70</f>
        <v>#DIV/0!</v>
      </c>
      <c r="C72" s="8" t="e">
        <f t="shared" ref="C72:L72" si="7">C69*100/C70</f>
        <v>#DIV/0!</v>
      </c>
      <c r="D72" s="8" t="e">
        <f t="shared" si="7"/>
        <v>#DIV/0!</v>
      </c>
      <c r="E72" s="8" t="e">
        <f t="shared" si="7"/>
        <v>#DIV/0!</v>
      </c>
      <c r="F72" s="8" t="e">
        <f t="shared" si="7"/>
        <v>#DIV/0!</v>
      </c>
      <c r="G72" s="8">
        <f t="shared" si="7"/>
        <v>36.363636363636367</v>
      </c>
      <c r="H72" s="8">
        <f t="shared" si="7"/>
        <v>16.666666666666668</v>
      </c>
      <c r="I72" s="8">
        <f t="shared" si="7"/>
        <v>75</v>
      </c>
      <c r="J72" s="8">
        <f t="shared" si="7"/>
        <v>37.5</v>
      </c>
      <c r="K72" s="8">
        <f t="shared" si="7"/>
        <v>28.571428571428573</v>
      </c>
      <c r="L72" s="8">
        <f t="shared" si="7"/>
        <v>0</v>
      </c>
      <c r="M72" s="9"/>
      <c r="N72" s="14">
        <v>41.38</v>
      </c>
      <c r="O72" s="10" t="s">
        <v>27</v>
      </c>
    </row>
    <row r="73" spans="1:15" ht="30" x14ac:dyDescent="0.25">
      <c r="N73" s="11">
        <f>15*100/8</f>
        <v>187.5</v>
      </c>
      <c r="O73" s="10" t="s">
        <v>28</v>
      </c>
    </row>
    <row r="74" spans="1:15" x14ac:dyDescent="0.25">
      <c r="G74" s="1"/>
      <c r="H74" s="1"/>
    </row>
    <row r="75" spans="1:15" x14ac:dyDescent="0.25">
      <c r="G75" s="1"/>
      <c r="H75" s="1"/>
    </row>
    <row r="76" spans="1:15" x14ac:dyDescent="0.25">
      <c r="G76" s="1"/>
      <c r="H76" s="1"/>
    </row>
    <row r="77" spans="1:15" x14ac:dyDescent="0.25">
      <c r="G77" s="1"/>
      <c r="H77" s="1"/>
    </row>
    <row r="78" spans="1:15" x14ac:dyDescent="0.25">
      <c r="G78" s="1"/>
      <c r="H78" s="1"/>
    </row>
    <row r="79" spans="1:15" x14ac:dyDescent="0.25">
      <c r="G79" s="1"/>
      <c r="H79" s="1"/>
    </row>
    <row r="80" spans="1:15" x14ac:dyDescent="0.25">
      <c r="G80" s="1"/>
      <c r="H80" s="1"/>
    </row>
    <row r="81" spans="7:8" x14ac:dyDescent="0.25">
      <c r="G81" s="1"/>
      <c r="H81" s="1"/>
    </row>
    <row r="82" spans="7:8" x14ac:dyDescent="0.25">
      <c r="G82" s="1"/>
      <c r="H82" s="1"/>
    </row>
    <row r="83" spans="7:8" x14ac:dyDescent="0.25">
      <c r="G83" s="1"/>
      <c r="H83" s="1"/>
    </row>
    <row r="84" spans="7:8" x14ac:dyDescent="0.25">
      <c r="G84" s="1"/>
      <c r="H84" s="1"/>
    </row>
    <row r="85" spans="7:8" x14ac:dyDescent="0.25">
      <c r="G85" s="1"/>
      <c r="H85" s="1"/>
    </row>
    <row r="86" spans="7:8" x14ac:dyDescent="0.25">
      <c r="G86" s="1"/>
      <c r="H86" s="1"/>
    </row>
    <row r="87" spans="7:8" x14ac:dyDescent="0.25">
      <c r="G87" s="1"/>
      <c r="H87" s="1"/>
    </row>
    <row r="88" spans="7:8" x14ac:dyDescent="0.25">
      <c r="G88" s="1"/>
      <c r="H88" s="1"/>
    </row>
    <row r="89" spans="7:8" x14ac:dyDescent="0.25">
      <c r="G89" s="1"/>
      <c r="H89" s="1"/>
    </row>
    <row r="90" spans="7:8" x14ac:dyDescent="0.25">
      <c r="G90" s="1"/>
      <c r="H90" s="1"/>
    </row>
    <row r="91" spans="7:8" x14ac:dyDescent="0.25">
      <c r="G91" s="1"/>
      <c r="H91" s="1"/>
    </row>
    <row r="92" spans="7:8" x14ac:dyDescent="0.25">
      <c r="G92" s="1"/>
      <c r="H92" s="1"/>
    </row>
    <row r="93" spans="7:8" x14ac:dyDescent="0.25">
      <c r="G93" s="1"/>
      <c r="H93" s="1"/>
    </row>
    <row r="94" spans="7:8" x14ac:dyDescent="0.25">
      <c r="G94" s="1"/>
      <c r="H94" s="1"/>
    </row>
    <row r="95" spans="7:8" x14ac:dyDescent="0.25">
      <c r="G95" s="1"/>
      <c r="H95" s="1"/>
    </row>
    <row r="96" spans="7:8" x14ac:dyDescent="0.25">
      <c r="G96" s="1"/>
      <c r="H96" s="1"/>
    </row>
    <row r="97" spans="7:8" x14ac:dyDescent="0.25">
      <c r="G97" s="1"/>
      <c r="H97" s="1"/>
    </row>
    <row r="98" spans="7:8" x14ac:dyDescent="0.25">
      <c r="G98" s="1"/>
      <c r="H98" s="1"/>
    </row>
    <row r="99" spans="7:8" x14ac:dyDescent="0.25">
      <c r="G99" s="1"/>
      <c r="H99" s="1"/>
    </row>
    <row r="100" spans="7:8" x14ac:dyDescent="0.25">
      <c r="G100" s="1"/>
      <c r="H100" s="1"/>
    </row>
    <row r="101" spans="7:8" x14ac:dyDescent="0.25">
      <c r="G101" s="1"/>
      <c r="H101" s="1"/>
    </row>
    <row r="102" spans="7:8" x14ac:dyDescent="0.25">
      <c r="G102" s="1"/>
      <c r="H102" s="1"/>
    </row>
    <row r="103" spans="7:8" x14ac:dyDescent="0.25">
      <c r="G103" s="1"/>
      <c r="H103" s="1"/>
    </row>
    <row r="104" spans="7:8" x14ac:dyDescent="0.25">
      <c r="G104" s="1"/>
      <c r="H104" s="1"/>
    </row>
    <row r="105" spans="7:8" x14ac:dyDescent="0.25">
      <c r="G105" s="1"/>
      <c r="H105" s="1"/>
    </row>
    <row r="106" spans="7:8" x14ac:dyDescent="0.25">
      <c r="G106" s="1"/>
      <c r="H106" s="1"/>
    </row>
    <row r="107" spans="7:8" x14ac:dyDescent="0.25">
      <c r="G107" s="1"/>
      <c r="H107" s="1"/>
    </row>
    <row r="108" spans="7:8" x14ac:dyDescent="0.25">
      <c r="G108" s="1"/>
      <c r="H108" s="1"/>
    </row>
    <row r="109" spans="7:8" x14ac:dyDescent="0.25">
      <c r="G109" s="1"/>
      <c r="H109" s="1"/>
    </row>
    <row r="110" spans="7:8" x14ac:dyDescent="0.25">
      <c r="G110" s="1"/>
      <c r="H110" s="1"/>
    </row>
    <row r="111" spans="7:8" x14ac:dyDescent="0.25">
      <c r="G111" s="1"/>
      <c r="H111" s="1"/>
    </row>
    <row r="112" spans="7:8" x14ac:dyDescent="0.25">
      <c r="G112" s="1"/>
      <c r="H112" s="1"/>
    </row>
    <row r="113" spans="7:8" x14ac:dyDescent="0.25">
      <c r="G113" s="1"/>
      <c r="H113" s="1"/>
    </row>
    <row r="114" spans="7:8" x14ac:dyDescent="0.25">
      <c r="G114" s="1"/>
      <c r="H114" s="1"/>
    </row>
    <row r="115" spans="7:8" x14ac:dyDescent="0.25">
      <c r="G115" s="1"/>
      <c r="H115" s="1"/>
    </row>
    <row r="116" spans="7:8" x14ac:dyDescent="0.25">
      <c r="G116" s="1"/>
      <c r="H116" s="1"/>
    </row>
    <row r="117" spans="7:8" x14ac:dyDescent="0.25">
      <c r="G117" s="1"/>
      <c r="H117" s="1"/>
    </row>
    <row r="118" spans="7:8" x14ac:dyDescent="0.25">
      <c r="G118" s="1"/>
      <c r="H118" s="1"/>
    </row>
    <row r="119" spans="7:8" x14ac:dyDescent="0.25">
      <c r="G119" s="1"/>
      <c r="H119" s="1"/>
    </row>
    <row r="120" spans="7:8" x14ac:dyDescent="0.25">
      <c r="G120" s="1"/>
      <c r="H120" s="1"/>
    </row>
    <row r="121" spans="7:8" x14ac:dyDescent="0.25">
      <c r="G121" s="1"/>
      <c r="H121" s="1"/>
    </row>
    <row r="122" spans="7:8" x14ac:dyDescent="0.25">
      <c r="G122" s="1"/>
      <c r="H122" s="1"/>
    </row>
    <row r="123" spans="7:8" x14ac:dyDescent="0.25">
      <c r="G123" s="1"/>
      <c r="H123" s="1"/>
    </row>
    <row r="124" spans="7:8" x14ac:dyDescent="0.25">
      <c r="G124" s="1"/>
      <c r="H124" s="1"/>
    </row>
    <row r="125" spans="7:8" x14ac:dyDescent="0.25">
      <c r="G125" s="1"/>
      <c r="H125" s="1"/>
    </row>
    <row r="126" spans="7:8" x14ac:dyDescent="0.25">
      <c r="G126" s="1"/>
      <c r="H126" s="1"/>
    </row>
    <row r="127" spans="7:8" x14ac:dyDescent="0.25">
      <c r="G127" s="1"/>
      <c r="H127" s="1"/>
    </row>
    <row r="128" spans="7:8" x14ac:dyDescent="0.25">
      <c r="G128" s="1"/>
      <c r="H128" s="1"/>
    </row>
    <row r="129" spans="7:8" x14ac:dyDescent="0.25">
      <c r="G129" s="1"/>
      <c r="H129" s="1"/>
    </row>
    <row r="130" spans="7:8" x14ac:dyDescent="0.25">
      <c r="G130" s="1"/>
      <c r="H130" s="1"/>
    </row>
    <row r="131" spans="7:8" x14ac:dyDescent="0.25">
      <c r="G131" s="1"/>
      <c r="H131" s="1"/>
    </row>
    <row r="132" spans="7:8" x14ac:dyDescent="0.25">
      <c r="G132" s="1"/>
      <c r="H132" s="1"/>
    </row>
    <row r="133" spans="7:8" x14ac:dyDescent="0.25">
      <c r="G133" s="1"/>
      <c r="H133" s="1"/>
    </row>
    <row r="134" spans="7:8" x14ac:dyDescent="0.25">
      <c r="G134" s="1"/>
      <c r="H134" s="1"/>
    </row>
    <row r="135" spans="7:8" x14ac:dyDescent="0.25">
      <c r="G135" s="1"/>
      <c r="H135" s="1"/>
    </row>
    <row r="136" spans="7:8" x14ac:dyDescent="0.25">
      <c r="G136" s="1"/>
      <c r="H136" s="1"/>
    </row>
    <row r="137" spans="7:8" x14ac:dyDescent="0.25">
      <c r="G137" s="1"/>
      <c r="H137" s="1"/>
    </row>
    <row r="138" spans="7:8" x14ac:dyDescent="0.25">
      <c r="G138" s="1"/>
      <c r="H138" s="1"/>
    </row>
    <row r="139" spans="7:8" x14ac:dyDescent="0.25">
      <c r="G139" s="1"/>
      <c r="H139" s="1"/>
    </row>
    <row r="140" spans="7:8" x14ac:dyDescent="0.25">
      <c r="G140" s="1"/>
      <c r="H140" s="1"/>
    </row>
    <row r="141" spans="7:8" x14ac:dyDescent="0.25">
      <c r="G141" s="1"/>
      <c r="H141" s="1"/>
    </row>
    <row r="142" spans="7:8" x14ac:dyDescent="0.25">
      <c r="G142" s="1"/>
      <c r="H142" s="1"/>
    </row>
    <row r="143" spans="7:8" x14ac:dyDescent="0.25">
      <c r="G143" s="1"/>
      <c r="H143" s="1"/>
    </row>
    <row r="144" spans="7:8" x14ac:dyDescent="0.25">
      <c r="G144" s="1"/>
      <c r="H144" s="1"/>
    </row>
    <row r="145" spans="7:8" x14ac:dyDescent="0.25">
      <c r="G145" s="1"/>
      <c r="H145" s="1"/>
    </row>
    <row r="146" spans="7:8" x14ac:dyDescent="0.25">
      <c r="G146" s="1"/>
      <c r="H146" s="1"/>
    </row>
    <row r="147" spans="7:8" x14ac:dyDescent="0.25">
      <c r="G147" s="1"/>
      <c r="H147" s="1"/>
    </row>
    <row r="148" spans="7:8" x14ac:dyDescent="0.25">
      <c r="G148" s="1"/>
      <c r="H148" s="1"/>
    </row>
    <row r="149" spans="7:8" x14ac:dyDescent="0.25">
      <c r="G149" s="1"/>
      <c r="H149" s="1"/>
    </row>
    <row r="150" spans="7:8" x14ac:dyDescent="0.25">
      <c r="G150" s="1"/>
      <c r="H150" s="1"/>
    </row>
    <row r="151" spans="7:8" x14ac:dyDescent="0.25">
      <c r="G151" s="1"/>
      <c r="H151" s="1"/>
    </row>
    <row r="152" spans="7:8" x14ac:dyDescent="0.25">
      <c r="G152" s="1"/>
      <c r="H152" s="1"/>
    </row>
    <row r="153" spans="7:8" x14ac:dyDescent="0.25">
      <c r="G153" s="1"/>
      <c r="H153" s="1"/>
    </row>
    <row r="154" spans="7:8" x14ac:dyDescent="0.25">
      <c r="G154" s="1"/>
      <c r="H154" s="1"/>
    </row>
    <row r="155" spans="7:8" x14ac:dyDescent="0.25">
      <c r="G155" s="1"/>
      <c r="H155" s="1"/>
    </row>
    <row r="156" spans="7:8" x14ac:dyDescent="0.25">
      <c r="G156" s="1"/>
      <c r="H156" s="1"/>
    </row>
    <row r="157" spans="7:8" x14ac:dyDescent="0.25">
      <c r="G157" s="1"/>
      <c r="H157" s="1"/>
    </row>
    <row r="158" spans="7:8" x14ac:dyDescent="0.25">
      <c r="G158" s="1"/>
      <c r="H158" s="1"/>
    </row>
    <row r="159" spans="7:8" x14ac:dyDescent="0.25">
      <c r="G159" s="1"/>
      <c r="H159" s="1"/>
    </row>
    <row r="160" spans="7:8" x14ac:dyDescent="0.25">
      <c r="G160" s="1"/>
      <c r="H160" s="1"/>
    </row>
    <row r="161" spans="7:8" x14ac:dyDescent="0.25">
      <c r="G161" s="1"/>
      <c r="H161" s="1"/>
    </row>
    <row r="162" spans="7:8" x14ac:dyDescent="0.25">
      <c r="G162" s="1"/>
      <c r="H162" s="1"/>
    </row>
    <row r="163" spans="7:8" x14ac:dyDescent="0.25">
      <c r="G163" s="1"/>
      <c r="H163" s="1"/>
    </row>
    <row r="164" spans="7:8" x14ac:dyDescent="0.25">
      <c r="G164" s="1"/>
      <c r="H164" s="1"/>
    </row>
    <row r="165" spans="7:8" x14ac:dyDescent="0.25">
      <c r="G165" s="1"/>
      <c r="H165" s="1"/>
    </row>
    <row r="166" spans="7:8" x14ac:dyDescent="0.25">
      <c r="G166" s="1"/>
      <c r="H166" s="1"/>
    </row>
    <row r="167" spans="7:8" x14ac:dyDescent="0.25">
      <c r="G167" s="1"/>
      <c r="H167" s="1"/>
    </row>
    <row r="168" spans="7:8" x14ac:dyDescent="0.25">
      <c r="G168" s="1"/>
      <c r="H168" s="1"/>
    </row>
    <row r="169" spans="7:8" x14ac:dyDescent="0.25">
      <c r="G169" s="1"/>
      <c r="H169" s="1"/>
    </row>
    <row r="170" spans="7:8" x14ac:dyDescent="0.25">
      <c r="G170" s="1"/>
      <c r="H170" s="1"/>
    </row>
    <row r="171" spans="7:8" x14ac:dyDescent="0.25">
      <c r="G171" s="1"/>
      <c r="H171" s="1"/>
    </row>
    <row r="172" spans="7:8" x14ac:dyDescent="0.25">
      <c r="G172" s="1"/>
      <c r="H172" s="1"/>
    </row>
    <row r="173" spans="7:8" x14ac:dyDescent="0.25">
      <c r="G173" s="1"/>
      <c r="H173" s="1"/>
    </row>
    <row r="174" spans="7:8" x14ac:dyDescent="0.25">
      <c r="G174" s="1"/>
      <c r="H174" s="1"/>
    </row>
    <row r="175" spans="7:8" x14ac:dyDescent="0.25">
      <c r="G175" s="1"/>
      <c r="H175" s="1"/>
    </row>
    <row r="176" spans="7:8" x14ac:dyDescent="0.25">
      <c r="G176" s="1"/>
      <c r="H176" s="1"/>
    </row>
    <row r="177" spans="7:8" x14ac:dyDescent="0.25">
      <c r="G177" s="1"/>
      <c r="H177" s="1"/>
    </row>
    <row r="178" spans="7:8" x14ac:dyDescent="0.25">
      <c r="G178" s="1"/>
      <c r="H178" s="1"/>
    </row>
    <row r="179" spans="7:8" x14ac:dyDescent="0.25">
      <c r="G179" s="1"/>
      <c r="H179" s="1"/>
    </row>
    <row r="180" spans="7:8" x14ac:dyDescent="0.25">
      <c r="G180" s="1"/>
      <c r="H180" s="1"/>
    </row>
    <row r="181" spans="7:8" x14ac:dyDescent="0.25">
      <c r="G181" s="1"/>
      <c r="H181" s="1"/>
    </row>
    <row r="182" spans="7:8" x14ac:dyDescent="0.25">
      <c r="G182" s="1"/>
      <c r="H182" s="1"/>
    </row>
    <row r="183" spans="7:8" x14ac:dyDescent="0.25">
      <c r="G183" s="1"/>
      <c r="H183" s="1"/>
    </row>
    <row r="184" spans="7:8" x14ac:dyDescent="0.25">
      <c r="G184" s="1"/>
      <c r="H184" s="1"/>
    </row>
    <row r="185" spans="7:8" x14ac:dyDescent="0.25">
      <c r="G185" s="1"/>
      <c r="H185" s="1"/>
    </row>
    <row r="186" spans="7:8" x14ac:dyDescent="0.25">
      <c r="G186" s="1"/>
      <c r="H186" s="1"/>
    </row>
    <row r="187" spans="7:8" x14ac:dyDescent="0.25">
      <c r="G187" s="1"/>
      <c r="H187" s="1"/>
    </row>
    <row r="188" spans="7:8" x14ac:dyDescent="0.25">
      <c r="G188" s="1"/>
      <c r="H188" s="1"/>
    </row>
    <row r="189" spans="7:8" x14ac:dyDescent="0.25">
      <c r="G189" s="1"/>
      <c r="H189" s="1"/>
    </row>
    <row r="190" spans="7:8" x14ac:dyDescent="0.25">
      <c r="G190" s="1"/>
      <c r="H190" s="1"/>
    </row>
    <row r="191" spans="7:8" x14ac:dyDescent="0.25">
      <c r="G191" s="1"/>
      <c r="H191" s="1"/>
    </row>
    <row r="192" spans="7:8" x14ac:dyDescent="0.25">
      <c r="G192" s="1"/>
      <c r="H192" s="1"/>
    </row>
    <row r="193" spans="7:8" x14ac:dyDescent="0.25">
      <c r="G193" s="1"/>
      <c r="H193" s="1"/>
    </row>
    <row r="194" spans="7:8" x14ac:dyDescent="0.25">
      <c r="G194" s="1"/>
      <c r="H194" s="1"/>
    </row>
    <row r="195" spans="7:8" x14ac:dyDescent="0.25">
      <c r="G195" s="1"/>
      <c r="H195" s="1"/>
    </row>
    <row r="196" spans="7:8" x14ac:dyDescent="0.25">
      <c r="G196" s="1"/>
      <c r="H196" s="1"/>
    </row>
    <row r="197" spans="7:8" x14ac:dyDescent="0.25">
      <c r="G197" s="1"/>
      <c r="H197" s="1"/>
    </row>
    <row r="198" spans="7:8" x14ac:dyDescent="0.25">
      <c r="G198" s="1"/>
      <c r="H198" s="1"/>
    </row>
    <row r="199" spans="7:8" x14ac:dyDescent="0.25">
      <c r="G199" s="1"/>
      <c r="H199" s="1"/>
    </row>
    <row r="200" spans="7:8" x14ac:dyDescent="0.25">
      <c r="G200" s="1"/>
      <c r="H200" s="1"/>
    </row>
    <row r="201" spans="7:8" x14ac:dyDescent="0.25">
      <c r="G201" s="1"/>
      <c r="H201" s="1"/>
    </row>
    <row r="202" spans="7:8" x14ac:dyDescent="0.25">
      <c r="G202" s="1"/>
      <c r="H202" s="1"/>
    </row>
    <row r="203" spans="7:8" x14ac:dyDescent="0.25">
      <c r="G203" s="1"/>
      <c r="H203" s="1"/>
    </row>
    <row r="204" spans="7:8" x14ac:dyDescent="0.25">
      <c r="G204" s="1"/>
      <c r="H204" s="1"/>
    </row>
    <row r="205" spans="7:8" x14ac:dyDescent="0.25">
      <c r="G205" s="1"/>
      <c r="H205" s="1"/>
    </row>
    <row r="206" spans="7:8" x14ac:dyDescent="0.25">
      <c r="G206" s="1"/>
      <c r="H206" s="1"/>
    </row>
    <row r="207" spans="7:8" x14ac:dyDescent="0.25">
      <c r="G207" s="1"/>
      <c r="H207" s="1"/>
    </row>
    <row r="208" spans="7:8" x14ac:dyDescent="0.25">
      <c r="G208" s="1"/>
      <c r="H208" s="1"/>
    </row>
    <row r="209" spans="7:8" x14ac:dyDescent="0.25">
      <c r="G209" s="1"/>
      <c r="H209" s="1"/>
    </row>
    <row r="210" spans="7:8" x14ac:dyDescent="0.25">
      <c r="G210" s="1"/>
      <c r="H210" s="1"/>
    </row>
    <row r="211" spans="7:8" x14ac:dyDescent="0.25">
      <c r="G211" s="1"/>
      <c r="H211" s="1"/>
    </row>
    <row r="212" spans="7:8" x14ac:dyDescent="0.25">
      <c r="G212" s="1"/>
      <c r="H212" s="1"/>
    </row>
    <row r="213" spans="7:8" x14ac:dyDescent="0.25">
      <c r="G213" s="1"/>
      <c r="H213" s="1"/>
    </row>
    <row r="214" spans="7:8" x14ac:dyDescent="0.25">
      <c r="G214" s="1"/>
      <c r="H214" s="1"/>
    </row>
    <row r="215" spans="7:8" x14ac:dyDescent="0.25">
      <c r="G215" s="1"/>
      <c r="H215" s="1"/>
    </row>
    <row r="216" spans="7:8" x14ac:dyDescent="0.25">
      <c r="G216" s="1"/>
      <c r="H216" s="1"/>
    </row>
    <row r="217" spans="7:8" x14ac:dyDescent="0.25">
      <c r="G217" s="1"/>
      <c r="H217" s="1"/>
    </row>
    <row r="218" spans="7:8" x14ac:dyDescent="0.25">
      <c r="G218" s="1"/>
      <c r="H218" s="1"/>
    </row>
    <row r="219" spans="7:8" x14ac:dyDescent="0.25">
      <c r="G219" s="1"/>
      <c r="H219" s="1"/>
    </row>
    <row r="220" spans="7:8" x14ac:dyDescent="0.25">
      <c r="G220" s="1"/>
      <c r="H220" s="1"/>
    </row>
    <row r="221" spans="7:8" x14ac:dyDescent="0.25">
      <c r="G221" s="1"/>
      <c r="H221" s="1"/>
    </row>
    <row r="222" spans="7:8" x14ac:dyDescent="0.25">
      <c r="G222" s="1"/>
      <c r="H222" s="1"/>
    </row>
    <row r="223" spans="7:8" x14ac:dyDescent="0.25">
      <c r="G223" s="1"/>
      <c r="H223" s="1"/>
    </row>
    <row r="224" spans="7:8" x14ac:dyDescent="0.25">
      <c r="G224" s="1"/>
      <c r="H224" s="1"/>
    </row>
    <row r="225" spans="7:8" x14ac:dyDescent="0.25">
      <c r="G225" s="1"/>
      <c r="H225" s="1"/>
    </row>
    <row r="226" spans="7:8" x14ac:dyDescent="0.25">
      <c r="G226" s="1"/>
      <c r="H226" s="1"/>
    </row>
    <row r="227" spans="7:8" x14ac:dyDescent="0.25">
      <c r="G227" s="1"/>
      <c r="H227" s="1"/>
    </row>
    <row r="228" spans="7:8" x14ac:dyDescent="0.25">
      <c r="G228" s="1"/>
      <c r="H228" s="1"/>
    </row>
    <row r="229" spans="7:8" x14ac:dyDescent="0.25">
      <c r="G229" s="1"/>
      <c r="H229" s="1"/>
    </row>
    <row r="230" spans="7:8" x14ac:dyDescent="0.25">
      <c r="G230" s="1"/>
      <c r="H230" s="1"/>
    </row>
    <row r="231" spans="7:8" x14ac:dyDescent="0.25">
      <c r="G231" s="1"/>
      <c r="H231" s="1"/>
    </row>
    <row r="232" spans="7:8" x14ac:dyDescent="0.25">
      <c r="G232" s="1"/>
      <c r="H232" s="1"/>
    </row>
    <row r="233" spans="7:8" x14ac:dyDescent="0.25">
      <c r="G233" s="1"/>
      <c r="H233" s="1"/>
    </row>
    <row r="234" spans="7:8" x14ac:dyDescent="0.25">
      <c r="G234" s="1"/>
      <c r="H234" s="1"/>
    </row>
    <row r="235" spans="7:8" x14ac:dyDescent="0.25">
      <c r="G235" s="1"/>
      <c r="H235" s="1"/>
    </row>
    <row r="236" spans="7:8" x14ac:dyDescent="0.25">
      <c r="G236" s="1"/>
      <c r="H236" s="1"/>
    </row>
    <row r="237" spans="7:8" x14ac:dyDescent="0.25">
      <c r="G237" s="1"/>
      <c r="H237" s="1"/>
    </row>
    <row r="238" spans="7:8" x14ac:dyDescent="0.25">
      <c r="G238" s="1"/>
      <c r="H238" s="1"/>
    </row>
    <row r="239" spans="7:8" x14ac:dyDescent="0.25">
      <c r="G239" s="1"/>
      <c r="H239" s="1"/>
    </row>
    <row r="240" spans="7:8" x14ac:dyDescent="0.25">
      <c r="G240" s="1"/>
      <c r="H240" s="1"/>
    </row>
    <row r="241" spans="7:8" x14ac:dyDescent="0.25">
      <c r="G241" s="1"/>
      <c r="H241" s="1"/>
    </row>
    <row r="242" spans="7:8" x14ac:dyDescent="0.25">
      <c r="G242" s="1"/>
      <c r="H242" s="1"/>
    </row>
    <row r="243" spans="7:8" x14ac:dyDescent="0.25">
      <c r="G243" s="1"/>
      <c r="H243" s="1"/>
    </row>
    <row r="244" spans="7:8" x14ac:dyDescent="0.25">
      <c r="G244" s="1"/>
      <c r="H244" s="1"/>
    </row>
    <row r="245" spans="7:8" x14ac:dyDescent="0.25">
      <c r="G245" s="1"/>
      <c r="H245" s="1"/>
    </row>
    <row r="246" spans="7:8" x14ac:dyDescent="0.25">
      <c r="G246" s="1"/>
      <c r="H246" s="1"/>
    </row>
    <row r="247" spans="7:8" x14ac:dyDescent="0.25">
      <c r="G247" s="1"/>
      <c r="H247" s="1"/>
    </row>
    <row r="248" spans="7:8" x14ac:dyDescent="0.25">
      <c r="G248" s="1"/>
      <c r="H248" s="1"/>
    </row>
    <row r="249" spans="7:8" x14ac:dyDescent="0.25">
      <c r="G249" s="1"/>
      <c r="H249" s="1"/>
    </row>
    <row r="250" spans="7:8" x14ac:dyDescent="0.25">
      <c r="G250" s="1"/>
      <c r="H250" s="1"/>
    </row>
    <row r="251" spans="7:8" x14ac:dyDescent="0.25">
      <c r="G251" s="1"/>
      <c r="H251" s="1"/>
    </row>
    <row r="252" spans="7:8" x14ac:dyDescent="0.25">
      <c r="G252" s="1"/>
      <c r="H252" s="1"/>
    </row>
    <row r="253" spans="7:8" x14ac:dyDescent="0.25">
      <c r="G253" s="1"/>
      <c r="H253" s="1"/>
    </row>
    <row r="254" spans="7:8" x14ac:dyDescent="0.25">
      <c r="G254" s="1"/>
      <c r="H254" s="1"/>
    </row>
    <row r="255" spans="7:8" x14ac:dyDescent="0.25">
      <c r="G255" s="1"/>
      <c r="H255" s="1"/>
    </row>
    <row r="256" spans="7:8" x14ac:dyDescent="0.25">
      <c r="G256" s="1"/>
      <c r="H256" s="1"/>
    </row>
    <row r="257" spans="7:8" x14ac:dyDescent="0.25">
      <c r="G257" s="1"/>
      <c r="H257" s="1"/>
    </row>
    <row r="258" spans="7:8" x14ac:dyDescent="0.25">
      <c r="G258" s="1"/>
      <c r="H258" s="1"/>
    </row>
    <row r="259" spans="7:8" x14ac:dyDescent="0.25">
      <c r="G259" s="1"/>
      <c r="H259" s="1"/>
    </row>
    <row r="260" spans="7:8" x14ac:dyDescent="0.25">
      <c r="G260" s="1"/>
      <c r="H260" s="1"/>
    </row>
    <row r="261" spans="7:8" x14ac:dyDescent="0.25">
      <c r="G261" s="1"/>
      <c r="H261" s="1"/>
    </row>
    <row r="262" spans="7:8" x14ac:dyDescent="0.25">
      <c r="G262" s="1"/>
      <c r="H262" s="1"/>
    </row>
    <row r="263" spans="7:8" x14ac:dyDescent="0.25">
      <c r="G263" s="1"/>
      <c r="H263" s="1"/>
    </row>
    <row r="264" spans="7:8" x14ac:dyDescent="0.25">
      <c r="G264" s="1"/>
      <c r="H264" s="1"/>
    </row>
    <row r="265" spans="7:8" x14ac:dyDescent="0.25">
      <c r="G265" s="1"/>
      <c r="H265" s="1"/>
    </row>
    <row r="266" spans="7:8" x14ac:dyDescent="0.25">
      <c r="G266" s="1"/>
      <c r="H266" s="1"/>
    </row>
    <row r="267" spans="7:8" x14ac:dyDescent="0.25">
      <c r="G267" s="1"/>
      <c r="H267" s="1"/>
    </row>
    <row r="268" spans="7:8" x14ac:dyDescent="0.25">
      <c r="G268" s="1"/>
      <c r="H268" s="1"/>
    </row>
    <row r="269" spans="7:8" x14ac:dyDescent="0.25">
      <c r="G269" s="1"/>
      <c r="H269" s="1"/>
    </row>
    <row r="270" spans="7:8" x14ac:dyDescent="0.25">
      <c r="G270" s="1"/>
      <c r="H270" s="1"/>
    </row>
    <row r="271" spans="7:8" x14ac:dyDescent="0.25">
      <c r="G271" s="1"/>
      <c r="H271" s="1"/>
    </row>
    <row r="272" spans="7:8" x14ac:dyDescent="0.25">
      <c r="G272" s="1"/>
      <c r="H272" s="1"/>
    </row>
    <row r="273" spans="7:8" x14ac:dyDescent="0.25">
      <c r="G273" s="1"/>
      <c r="H273" s="1"/>
    </row>
    <row r="274" spans="7:8" x14ac:dyDescent="0.25">
      <c r="G274" s="1"/>
      <c r="H274" s="1"/>
    </row>
    <row r="275" spans="7:8" x14ac:dyDescent="0.25">
      <c r="G275" s="1"/>
      <c r="H275" s="1"/>
    </row>
    <row r="276" spans="7:8" x14ac:dyDescent="0.25">
      <c r="G276" s="1"/>
      <c r="H276" s="1"/>
    </row>
    <row r="277" spans="7:8" x14ac:dyDescent="0.25">
      <c r="G277" s="1"/>
      <c r="H277" s="1"/>
    </row>
    <row r="278" spans="7:8" x14ac:dyDescent="0.25">
      <c r="G278" s="1"/>
      <c r="H278" s="1"/>
    </row>
    <row r="279" spans="7:8" x14ac:dyDescent="0.25">
      <c r="G279" s="1"/>
      <c r="H279" s="1"/>
    </row>
    <row r="280" spans="7:8" x14ac:dyDescent="0.25">
      <c r="G280" s="1"/>
      <c r="H280" s="1"/>
    </row>
    <row r="281" spans="7:8" x14ac:dyDescent="0.25">
      <c r="G281" s="1"/>
      <c r="H281" s="1"/>
    </row>
    <row r="282" spans="7:8" x14ac:dyDescent="0.25">
      <c r="G282" s="1"/>
      <c r="H282" s="1"/>
    </row>
    <row r="283" spans="7:8" x14ac:dyDescent="0.25">
      <c r="G283" s="1"/>
      <c r="H283" s="1"/>
    </row>
    <row r="284" spans="7:8" x14ac:dyDescent="0.25">
      <c r="G284" s="1"/>
      <c r="H284" s="1"/>
    </row>
    <row r="285" spans="7:8" x14ac:dyDescent="0.25">
      <c r="G285" s="1"/>
      <c r="H285" s="1"/>
    </row>
    <row r="286" spans="7:8" x14ac:dyDescent="0.25">
      <c r="G286" s="1"/>
      <c r="H286" s="1"/>
    </row>
    <row r="287" spans="7:8" x14ac:dyDescent="0.25">
      <c r="G287" s="1"/>
      <c r="H287" s="1"/>
    </row>
    <row r="288" spans="7:8" x14ac:dyDescent="0.25">
      <c r="G288" s="1"/>
      <c r="H288" s="1"/>
    </row>
    <row r="289" spans="7:8" x14ac:dyDescent="0.25">
      <c r="G289" s="1"/>
      <c r="H289" s="1"/>
    </row>
    <row r="290" spans="7:8" x14ac:dyDescent="0.25">
      <c r="G290" s="1"/>
      <c r="H290" s="1"/>
    </row>
    <row r="291" spans="7:8" x14ac:dyDescent="0.25">
      <c r="G291" s="1"/>
      <c r="H291" s="1"/>
    </row>
    <row r="292" spans="7:8" x14ac:dyDescent="0.25">
      <c r="G292" s="1"/>
      <c r="H292" s="1"/>
    </row>
    <row r="293" spans="7:8" x14ac:dyDescent="0.25">
      <c r="G293" s="1"/>
      <c r="H293" s="1"/>
    </row>
    <row r="294" spans="7:8" x14ac:dyDescent="0.25">
      <c r="G294" s="1"/>
      <c r="H294" s="1"/>
    </row>
    <row r="295" spans="7:8" x14ac:dyDescent="0.25">
      <c r="G295" s="1"/>
      <c r="H295" s="1"/>
    </row>
    <row r="296" spans="7:8" x14ac:dyDescent="0.25">
      <c r="G296" s="1"/>
      <c r="H296" s="1"/>
    </row>
    <row r="297" spans="7:8" x14ac:dyDescent="0.25">
      <c r="G297" s="1"/>
      <c r="H297" s="1"/>
    </row>
    <row r="298" spans="7:8" x14ac:dyDescent="0.25">
      <c r="G298" s="1"/>
      <c r="H298" s="1"/>
    </row>
    <row r="299" spans="7:8" x14ac:dyDescent="0.25">
      <c r="G299" s="1"/>
      <c r="H299" s="1"/>
    </row>
    <row r="300" spans="7:8" x14ac:dyDescent="0.25">
      <c r="G300" s="1"/>
      <c r="H300" s="1"/>
    </row>
    <row r="301" spans="7:8" x14ac:dyDescent="0.25">
      <c r="G301" s="1"/>
      <c r="H301" s="1"/>
    </row>
    <row r="302" spans="7:8" x14ac:dyDescent="0.25">
      <c r="G302" s="1"/>
      <c r="H302" s="1"/>
    </row>
    <row r="303" spans="7:8" x14ac:dyDescent="0.25">
      <c r="G303" s="1"/>
      <c r="H303" s="1"/>
    </row>
    <row r="304" spans="7:8" x14ac:dyDescent="0.25">
      <c r="G304" s="1"/>
      <c r="H304" s="1"/>
    </row>
    <row r="305" spans="7:8" x14ac:dyDescent="0.25">
      <c r="G305" s="1"/>
      <c r="H305" s="1"/>
    </row>
    <row r="306" spans="7:8" x14ac:dyDescent="0.25">
      <c r="G306" s="1"/>
      <c r="H306" s="1"/>
    </row>
    <row r="307" spans="7:8" x14ac:dyDescent="0.25">
      <c r="G307" s="1"/>
      <c r="H307" s="1"/>
    </row>
    <row r="308" spans="7:8" x14ac:dyDescent="0.25">
      <c r="G308" s="1"/>
      <c r="H308" s="1"/>
    </row>
    <row r="309" spans="7:8" x14ac:dyDescent="0.25">
      <c r="G309" s="1"/>
      <c r="H309" s="1"/>
    </row>
    <row r="310" spans="7:8" x14ac:dyDescent="0.25">
      <c r="G310" s="1"/>
      <c r="H310" s="1"/>
    </row>
    <row r="311" spans="7:8" x14ac:dyDescent="0.25">
      <c r="G311" s="1"/>
      <c r="H311" s="1"/>
    </row>
    <row r="312" spans="7:8" x14ac:dyDescent="0.25">
      <c r="G312" s="1"/>
      <c r="H312" s="1"/>
    </row>
    <row r="313" spans="7:8" x14ac:dyDescent="0.25">
      <c r="G313" s="1"/>
      <c r="H313" s="1"/>
    </row>
    <row r="314" spans="7:8" x14ac:dyDescent="0.25">
      <c r="G314" s="1"/>
      <c r="H314" s="1"/>
    </row>
    <row r="315" spans="7:8" x14ac:dyDescent="0.25">
      <c r="G315" s="1"/>
      <c r="H315" s="1"/>
    </row>
    <row r="316" spans="7:8" x14ac:dyDescent="0.25">
      <c r="G316" s="1"/>
      <c r="H316" s="1"/>
    </row>
    <row r="317" spans="7:8" x14ac:dyDescent="0.25">
      <c r="G317" s="1"/>
      <c r="H317" s="1"/>
    </row>
    <row r="318" spans="7:8" x14ac:dyDescent="0.25">
      <c r="G318" s="1"/>
      <c r="H318" s="1"/>
    </row>
    <row r="319" spans="7:8" x14ac:dyDescent="0.25">
      <c r="G319" s="1"/>
      <c r="H319" s="1"/>
    </row>
    <row r="320" spans="7:8" x14ac:dyDescent="0.25">
      <c r="G320" s="1"/>
      <c r="H320" s="1"/>
    </row>
    <row r="321" spans="7:8" x14ac:dyDescent="0.25">
      <c r="G321" s="1"/>
      <c r="H321" s="1"/>
    </row>
    <row r="322" spans="7:8" x14ac:dyDescent="0.25">
      <c r="G322" s="1"/>
      <c r="H322" s="1"/>
    </row>
    <row r="323" spans="7:8" x14ac:dyDescent="0.25">
      <c r="G323" s="1"/>
      <c r="H323" s="1"/>
    </row>
    <row r="324" spans="7:8" x14ac:dyDescent="0.25">
      <c r="G324" s="1"/>
      <c r="H324" s="1"/>
    </row>
    <row r="325" spans="7:8" x14ac:dyDescent="0.25">
      <c r="G325" s="1"/>
      <c r="H325" s="1"/>
    </row>
    <row r="326" spans="7:8" x14ac:dyDescent="0.25">
      <c r="G326" s="1"/>
      <c r="H326" s="1"/>
    </row>
    <row r="327" spans="7:8" x14ac:dyDescent="0.25">
      <c r="G327" s="1"/>
      <c r="H327" s="1"/>
    </row>
    <row r="328" spans="7:8" x14ac:dyDescent="0.25">
      <c r="G328" s="1"/>
      <c r="H328" s="1"/>
    </row>
    <row r="329" spans="7:8" x14ac:dyDescent="0.25">
      <c r="G329" s="1"/>
      <c r="H329" s="1"/>
    </row>
    <row r="330" spans="7:8" x14ac:dyDescent="0.25">
      <c r="G330" s="1"/>
      <c r="H330" s="1"/>
    </row>
    <row r="331" spans="7:8" x14ac:dyDescent="0.25">
      <c r="G331" s="1"/>
      <c r="H331" s="1"/>
    </row>
    <row r="332" spans="7:8" x14ac:dyDescent="0.25">
      <c r="G332" s="1"/>
      <c r="H332" s="1"/>
    </row>
    <row r="333" spans="7:8" x14ac:dyDescent="0.25">
      <c r="G333" s="1"/>
      <c r="H333" s="1"/>
    </row>
    <row r="334" spans="7:8" x14ac:dyDescent="0.25">
      <c r="G334" s="1"/>
      <c r="H334" s="1"/>
    </row>
    <row r="335" spans="7:8" x14ac:dyDescent="0.25">
      <c r="G335" s="1"/>
      <c r="H335" s="1"/>
    </row>
    <row r="336" spans="7:8" x14ac:dyDescent="0.25">
      <c r="G336" s="1"/>
      <c r="H336" s="1"/>
    </row>
    <row r="337" spans="7:8" x14ac:dyDescent="0.25">
      <c r="G337" s="1"/>
      <c r="H337" s="1"/>
    </row>
    <row r="338" spans="7:8" x14ac:dyDescent="0.25">
      <c r="G338" s="1"/>
      <c r="H338" s="1"/>
    </row>
    <row r="339" spans="7:8" x14ac:dyDescent="0.25">
      <c r="G339" s="1"/>
      <c r="H339" s="1"/>
    </row>
    <row r="340" spans="7:8" x14ac:dyDescent="0.25">
      <c r="G340" s="1"/>
      <c r="H340" s="1"/>
    </row>
    <row r="341" spans="7:8" x14ac:dyDescent="0.25">
      <c r="G341" s="1"/>
      <c r="H341" s="1"/>
    </row>
    <row r="342" spans="7:8" x14ac:dyDescent="0.25">
      <c r="G342" s="1"/>
      <c r="H342" s="1"/>
    </row>
    <row r="343" spans="7:8" x14ac:dyDescent="0.25">
      <c r="G343" s="1"/>
      <c r="H343" s="1"/>
    </row>
    <row r="344" spans="7:8" x14ac:dyDescent="0.25">
      <c r="G344" s="1"/>
      <c r="H344" s="1"/>
    </row>
    <row r="345" spans="7:8" x14ac:dyDescent="0.25">
      <c r="G345" s="1"/>
      <c r="H345" s="1"/>
    </row>
    <row r="346" spans="7:8" x14ac:dyDescent="0.25">
      <c r="G346" s="1"/>
      <c r="H346" s="1"/>
    </row>
    <row r="347" spans="7:8" x14ac:dyDescent="0.25">
      <c r="G347" s="1"/>
      <c r="H347" s="1"/>
    </row>
    <row r="348" spans="7:8" x14ac:dyDescent="0.25">
      <c r="G348" s="1"/>
      <c r="H348" s="1"/>
    </row>
    <row r="349" spans="7:8" x14ac:dyDescent="0.25">
      <c r="G349" s="1"/>
      <c r="H349" s="1"/>
    </row>
    <row r="350" spans="7:8" x14ac:dyDescent="0.25">
      <c r="G350" s="1"/>
      <c r="H350" s="1"/>
    </row>
    <row r="351" spans="7:8" x14ac:dyDescent="0.25">
      <c r="G351" s="1"/>
      <c r="H351" s="1"/>
    </row>
    <row r="352" spans="7:8" x14ac:dyDescent="0.25">
      <c r="G352" s="1"/>
      <c r="H352" s="1"/>
    </row>
    <row r="353" spans="7:8" x14ac:dyDescent="0.25">
      <c r="G353" s="1"/>
      <c r="H353" s="1"/>
    </row>
    <row r="354" spans="7:8" x14ac:dyDescent="0.25">
      <c r="G354" s="1"/>
      <c r="H354" s="1"/>
    </row>
    <row r="355" spans="7:8" x14ac:dyDescent="0.25">
      <c r="G355" s="1"/>
      <c r="H355" s="1"/>
    </row>
    <row r="356" spans="7:8" x14ac:dyDescent="0.25">
      <c r="G356" s="1"/>
      <c r="H356" s="1"/>
    </row>
    <row r="357" spans="7:8" x14ac:dyDescent="0.25">
      <c r="G357" s="1"/>
      <c r="H357" s="1"/>
    </row>
    <row r="358" spans="7:8" x14ac:dyDescent="0.25">
      <c r="G358" s="1"/>
      <c r="H358" s="1"/>
    </row>
    <row r="359" spans="7:8" x14ac:dyDescent="0.25">
      <c r="G359" s="1"/>
      <c r="H359" s="1"/>
    </row>
    <row r="360" spans="7:8" x14ac:dyDescent="0.25">
      <c r="G360" s="1"/>
      <c r="H360" s="1"/>
    </row>
    <row r="361" spans="7:8" x14ac:dyDescent="0.25">
      <c r="G361" s="1"/>
      <c r="H361" s="1"/>
    </row>
    <row r="362" spans="7:8" x14ac:dyDescent="0.25">
      <c r="G362" s="1"/>
      <c r="H362" s="1"/>
    </row>
    <row r="363" spans="7:8" x14ac:dyDescent="0.25">
      <c r="G363" s="1"/>
      <c r="H363" s="1"/>
    </row>
    <row r="364" spans="7:8" x14ac:dyDescent="0.25">
      <c r="G364" s="1"/>
      <c r="H364" s="1"/>
    </row>
    <row r="365" spans="7:8" x14ac:dyDescent="0.25">
      <c r="G365" s="1"/>
      <c r="H365" s="1"/>
    </row>
    <row r="366" spans="7:8" x14ac:dyDescent="0.25">
      <c r="G366" s="1"/>
      <c r="H366" s="1"/>
    </row>
    <row r="367" spans="7:8" x14ac:dyDescent="0.25">
      <c r="G367" s="1"/>
      <c r="H367" s="1"/>
    </row>
    <row r="368" spans="7:8" x14ac:dyDescent="0.25">
      <c r="G368" s="1"/>
      <c r="H368" s="1"/>
    </row>
    <row r="369" spans="7:8" x14ac:dyDescent="0.25">
      <c r="G369" s="1"/>
      <c r="H369" s="1"/>
    </row>
    <row r="370" spans="7:8" x14ac:dyDescent="0.25">
      <c r="G370" s="1"/>
      <c r="H370" s="1"/>
    </row>
    <row r="371" spans="7:8" x14ac:dyDescent="0.25">
      <c r="G371" s="1"/>
      <c r="H371" s="1"/>
    </row>
    <row r="372" spans="7:8" x14ac:dyDescent="0.25">
      <c r="G372" s="1"/>
      <c r="H372" s="1"/>
    </row>
    <row r="373" spans="7:8" x14ac:dyDescent="0.25">
      <c r="G373" s="1"/>
      <c r="H373" s="1"/>
    </row>
    <row r="374" spans="7:8" x14ac:dyDescent="0.25">
      <c r="G374" s="1"/>
      <c r="H374" s="1"/>
    </row>
    <row r="375" spans="7:8" x14ac:dyDescent="0.25">
      <c r="G375" s="1"/>
      <c r="H375" s="1"/>
    </row>
    <row r="376" spans="7:8" x14ac:dyDescent="0.25">
      <c r="G376" s="1"/>
      <c r="H376" s="1"/>
    </row>
    <row r="377" spans="7:8" x14ac:dyDescent="0.25">
      <c r="G377" s="1"/>
      <c r="H377" s="1"/>
    </row>
    <row r="378" spans="7:8" x14ac:dyDescent="0.25">
      <c r="G378" s="1"/>
      <c r="H378" s="1"/>
    </row>
    <row r="379" spans="7:8" x14ac:dyDescent="0.25">
      <c r="G379" s="1"/>
      <c r="H379" s="1"/>
    </row>
    <row r="380" spans="7:8" x14ac:dyDescent="0.25">
      <c r="G380" s="1"/>
      <c r="H380" s="1"/>
    </row>
    <row r="381" spans="7:8" x14ac:dyDescent="0.25">
      <c r="G381" s="1"/>
      <c r="H381" s="1"/>
    </row>
    <row r="382" spans="7:8" x14ac:dyDescent="0.25">
      <c r="G382" s="1"/>
      <c r="H382" s="1"/>
    </row>
    <row r="383" spans="7:8" x14ac:dyDescent="0.25">
      <c r="G383" s="1"/>
      <c r="H383" s="1"/>
    </row>
    <row r="384" spans="7:8" x14ac:dyDescent="0.25">
      <c r="G384" s="1"/>
      <c r="H384" s="1"/>
    </row>
    <row r="385" spans="7:8" x14ac:dyDescent="0.25">
      <c r="G385" s="1"/>
      <c r="H385" s="1"/>
    </row>
    <row r="386" spans="7:8" x14ac:dyDescent="0.25">
      <c r="G386" s="1"/>
      <c r="H386" s="1"/>
    </row>
    <row r="387" spans="7:8" x14ac:dyDescent="0.25">
      <c r="G387" s="1"/>
      <c r="H387" s="1"/>
    </row>
    <row r="388" spans="7:8" x14ac:dyDescent="0.25">
      <c r="G388" s="1"/>
      <c r="H388" s="1"/>
    </row>
    <row r="389" spans="7:8" x14ac:dyDescent="0.25">
      <c r="G389" s="1"/>
      <c r="H389" s="1"/>
    </row>
    <row r="390" spans="7:8" x14ac:dyDescent="0.25">
      <c r="G390" s="1"/>
      <c r="H390" s="1"/>
    </row>
    <row r="391" spans="7:8" x14ac:dyDescent="0.25">
      <c r="G391" s="1"/>
      <c r="H391" s="1"/>
    </row>
    <row r="392" spans="7:8" x14ac:dyDescent="0.25">
      <c r="G392" s="1"/>
      <c r="H392" s="1"/>
    </row>
    <row r="393" spans="7:8" x14ac:dyDescent="0.25">
      <c r="G393" s="1"/>
      <c r="H393" s="1"/>
    </row>
    <row r="394" spans="7:8" x14ac:dyDescent="0.25">
      <c r="G394" s="1"/>
      <c r="H394" s="1"/>
    </row>
    <row r="395" spans="7:8" x14ac:dyDescent="0.25">
      <c r="G395" s="1"/>
      <c r="H395" s="1"/>
    </row>
    <row r="396" spans="7:8" x14ac:dyDescent="0.25">
      <c r="G396" s="1"/>
      <c r="H396" s="1"/>
    </row>
    <row r="397" spans="7:8" x14ac:dyDescent="0.25">
      <c r="G397" s="1"/>
      <c r="H397" s="1"/>
    </row>
    <row r="398" spans="7:8" x14ac:dyDescent="0.25">
      <c r="G398" s="1"/>
      <c r="H398" s="1"/>
    </row>
    <row r="399" spans="7:8" x14ac:dyDescent="0.25">
      <c r="G399" s="1"/>
      <c r="H399" s="1"/>
    </row>
    <row r="400" spans="7:8" x14ac:dyDescent="0.25">
      <c r="G400" s="1"/>
      <c r="H400" s="1"/>
    </row>
    <row r="401" spans="7:8" x14ac:dyDescent="0.25">
      <c r="G401" s="1"/>
      <c r="H401" s="1"/>
    </row>
    <row r="402" spans="7:8" x14ac:dyDescent="0.25">
      <c r="G402" s="1"/>
      <c r="H402" s="1"/>
    </row>
    <row r="403" spans="7:8" x14ac:dyDescent="0.25">
      <c r="G403" s="1"/>
      <c r="H403" s="1"/>
    </row>
    <row r="404" spans="7:8" x14ac:dyDescent="0.25">
      <c r="G404" s="1"/>
      <c r="H404" s="1"/>
    </row>
    <row r="405" spans="7:8" x14ac:dyDescent="0.25">
      <c r="G405" s="1"/>
      <c r="H405" s="1"/>
    </row>
    <row r="406" spans="7:8" x14ac:dyDescent="0.25">
      <c r="G406" s="1"/>
      <c r="H406" s="1"/>
    </row>
    <row r="407" spans="7:8" x14ac:dyDescent="0.25">
      <c r="G407" s="1"/>
      <c r="H407" s="1"/>
    </row>
    <row r="408" spans="7:8" x14ac:dyDescent="0.25">
      <c r="G408" s="1"/>
      <c r="H408" s="1"/>
    </row>
    <row r="409" spans="7:8" x14ac:dyDescent="0.25">
      <c r="G409" s="1"/>
      <c r="H409" s="1"/>
    </row>
    <row r="410" spans="7:8" x14ac:dyDescent="0.25">
      <c r="G410" s="1"/>
      <c r="H410" s="1"/>
    </row>
    <row r="411" spans="7:8" x14ac:dyDescent="0.25">
      <c r="G411" s="1"/>
      <c r="H411" s="1"/>
    </row>
    <row r="412" spans="7:8" x14ac:dyDescent="0.25">
      <c r="G412" s="1"/>
      <c r="H412" s="1"/>
    </row>
    <row r="413" spans="7:8" x14ac:dyDescent="0.25">
      <c r="G413" s="1"/>
      <c r="H413" s="1"/>
    </row>
    <row r="414" spans="7:8" x14ac:dyDescent="0.25">
      <c r="G414" s="1"/>
      <c r="H414" s="1"/>
    </row>
    <row r="415" spans="7:8" x14ac:dyDescent="0.25">
      <c r="G415" s="1"/>
      <c r="H415" s="1"/>
    </row>
    <row r="416" spans="7:8" x14ac:dyDescent="0.25">
      <c r="G416" s="1"/>
      <c r="H416" s="1"/>
    </row>
    <row r="417" spans="7:8" x14ac:dyDescent="0.25">
      <c r="G417" s="1"/>
      <c r="H417" s="1"/>
    </row>
    <row r="418" spans="7:8" x14ac:dyDescent="0.25">
      <c r="G418" s="1"/>
      <c r="H418" s="1"/>
    </row>
    <row r="419" spans="7:8" x14ac:dyDescent="0.25">
      <c r="G419" s="1"/>
      <c r="H419" s="1"/>
    </row>
    <row r="420" spans="7:8" x14ac:dyDescent="0.25">
      <c r="G420" s="1"/>
      <c r="H420" s="1"/>
    </row>
    <row r="421" spans="7:8" x14ac:dyDescent="0.25">
      <c r="G421" s="1"/>
      <c r="H421" s="1"/>
    </row>
    <row r="422" spans="7:8" x14ac:dyDescent="0.25">
      <c r="G422" s="1"/>
      <c r="H422" s="1"/>
    </row>
    <row r="423" spans="7:8" x14ac:dyDescent="0.25">
      <c r="G423" s="1"/>
      <c r="H423" s="1"/>
    </row>
    <row r="424" spans="7:8" x14ac:dyDescent="0.25">
      <c r="G424" s="1"/>
      <c r="H424" s="1"/>
    </row>
    <row r="425" spans="7:8" x14ac:dyDescent="0.25">
      <c r="G425" s="1"/>
      <c r="H425" s="1"/>
    </row>
    <row r="426" spans="7:8" x14ac:dyDescent="0.25">
      <c r="G426" s="1"/>
      <c r="H426" s="1"/>
    </row>
    <row r="427" spans="7:8" x14ac:dyDescent="0.25">
      <c r="G427" s="1"/>
      <c r="H427" s="1"/>
    </row>
    <row r="428" spans="7:8" x14ac:dyDescent="0.25">
      <c r="G428" s="1"/>
      <c r="H428" s="1"/>
    </row>
    <row r="429" spans="7:8" x14ac:dyDescent="0.25">
      <c r="G429" s="1"/>
      <c r="H429" s="1"/>
    </row>
    <row r="430" spans="7:8" x14ac:dyDescent="0.25">
      <c r="G430" s="1"/>
      <c r="H430" s="1"/>
    </row>
    <row r="431" spans="7:8" x14ac:dyDescent="0.25">
      <c r="G431" s="1"/>
      <c r="H431" s="1"/>
    </row>
    <row r="432" spans="7:8" x14ac:dyDescent="0.25">
      <c r="G432" s="1"/>
      <c r="H432" s="1"/>
    </row>
    <row r="433" spans="7:8" x14ac:dyDescent="0.25">
      <c r="G433" s="1"/>
      <c r="H433" s="1"/>
    </row>
    <row r="434" spans="7:8" x14ac:dyDescent="0.25">
      <c r="G434" s="1"/>
      <c r="H434" s="1"/>
    </row>
    <row r="435" spans="7:8" x14ac:dyDescent="0.25">
      <c r="G435" s="1"/>
      <c r="H435" s="1"/>
    </row>
    <row r="436" spans="7:8" x14ac:dyDescent="0.25">
      <c r="G436" s="1"/>
      <c r="H436" s="1"/>
    </row>
    <row r="437" spans="7:8" x14ac:dyDescent="0.25">
      <c r="G437" s="1"/>
      <c r="H437" s="1"/>
    </row>
    <row r="438" spans="7:8" x14ac:dyDescent="0.25">
      <c r="G438" s="1"/>
      <c r="H438" s="1"/>
    </row>
    <row r="439" spans="7:8" x14ac:dyDescent="0.25">
      <c r="G439" s="1"/>
      <c r="H439" s="1"/>
    </row>
    <row r="440" spans="7:8" x14ac:dyDescent="0.25">
      <c r="G440" s="1"/>
      <c r="H440" s="1"/>
    </row>
    <row r="441" spans="7:8" x14ac:dyDescent="0.25">
      <c r="G441" s="1"/>
      <c r="H441" s="1"/>
    </row>
    <row r="442" spans="7:8" x14ac:dyDescent="0.25">
      <c r="G442" s="1"/>
      <c r="H442" s="1"/>
    </row>
    <row r="443" spans="7:8" x14ac:dyDescent="0.25">
      <c r="G443" s="1"/>
      <c r="H443" s="1"/>
    </row>
    <row r="444" spans="7:8" x14ac:dyDescent="0.25">
      <c r="G444" s="1"/>
      <c r="H444" s="1"/>
    </row>
    <row r="445" spans="7:8" x14ac:dyDescent="0.25">
      <c r="G445" s="1"/>
      <c r="H445" s="1"/>
    </row>
    <row r="446" spans="7:8" x14ac:dyDescent="0.25">
      <c r="G446" s="1"/>
      <c r="H446" s="1"/>
    </row>
    <row r="447" spans="7:8" x14ac:dyDescent="0.25">
      <c r="G447" s="1"/>
      <c r="H447" s="1"/>
    </row>
    <row r="448" spans="7:8" x14ac:dyDescent="0.25">
      <c r="G448" s="1"/>
      <c r="H448" s="1"/>
    </row>
    <row r="449" spans="7:8" x14ac:dyDescent="0.25">
      <c r="G449" s="1"/>
      <c r="H449" s="1"/>
    </row>
    <row r="450" spans="7:8" x14ac:dyDescent="0.25">
      <c r="G450" s="1"/>
      <c r="H450" s="1"/>
    </row>
    <row r="451" spans="7:8" x14ac:dyDescent="0.25">
      <c r="G451" s="1"/>
      <c r="H451" s="1"/>
    </row>
    <row r="452" spans="7:8" x14ac:dyDescent="0.25">
      <c r="G452" s="1"/>
      <c r="H452" s="1"/>
    </row>
    <row r="453" spans="7:8" x14ac:dyDescent="0.25">
      <c r="G453" s="1"/>
      <c r="H453" s="1"/>
    </row>
    <row r="454" spans="7:8" x14ac:dyDescent="0.25">
      <c r="G454" s="1"/>
      <c r="H454" s="1"/>
    </row>
    <row r="455" spans="7:8" x14ac:dyDescent="0.25">
      <c r="G455" s="1"/>
      <c r="H455" s="1"/>
    </row>
    <row r="456" spans="7:8" x14ac:dyDescent="0.25">
      <c r="G456" s="1"/>
      <c r="H456" s="1"/>
    </row>
    <row r="457" spans="7:8" x14ac:dyDescent="0.25">
      <c r="G457" s="1"/>
      <c r="H457" s="1"/>
    </row>
    <row r="458" spans="7:8" x14ac:dyDescent="0.25">
      <c r="G458" s="1"/>
      <c r="H458" s="1"/>
    </row>
    <row r="459" spans="7:8" x14ac:dyDescent="0.25">
      <c r="G459" s="1"/>
      <c r="H459" s="1"/>
    </row>
    <row r="460" spans="7:8" x14ac:dyDescent="0.25">
      <c r="G460" s="1"/>
      <c r="H460" s="1"/>
    </row>
    <row r="461" spans="7:8" x14ac:dyDescent="0.25">
      <c r="G461" s="1"/>
      <c r="H461" s="1"/>
    </row>
    <row r="462" spans="7:8" x14ac:dyDescent="0.25">
      <c r="G462" s="1"/>
      <c r="H462" s="1"/>
    </row>
    <row r="463" spans="7:8" x14ac:dyDescent="0.25">
      <c r="G463" s="1"/>
      <c r="H463" s="1"/>
    </row>
    <row r="464" spans="7:8" x14ac:dyDescent="0.25">
      <c r="G464" s="1"/>
      <c r="H464" s="1"/>
    </row>
    <row r="465" spans="7:8" x14ac:dyDescent="0.25">
      <c r="G465" s="1"/>
      <c r="H465" s="1"/>
    </row>
    <row r="466" spans="7:8" x14ac:dyDescent="0.25">
      <c r="G466" s="1"/>
      <c r="H466" s="1"/>
    </row>
    <row r="467" spans="7:8" x14ac:dyDescent="0.25">
      <c r="G467" s="1"/>
      <c r="H467" s="1"/>
    </row>
    <row r="468" spans="7:8" x14ac:dyDescent="0.25">
      <c r="G468" s="1"/>
      <c r="H468" s="1"/>
    </row>
    <row r="469" spans="7:8" x14ac:dyDescent="0.25">
      <c r="G469" s="1"/>
      <c r="H469" s="1"/>
    </row>
    <row r="470" spans="7:8" x14ac:dyDescent="0.25">
      <c r="G470" s="1"/>
      <c r="H470" s="1"/>
    </row>
    <row r="471" spans="7:8" x14ac:dyDescent="0.25">
      <c r="G471" s="1"/>
      <c r="H471" s="1"/>
    </row>
    <row r="472" spans="7:8" x14ac:dyDescent="0.25">
      <c r="G472" s="1"/>
      <c r="H472" s="1"/>
    </row>
    <row r="473" spans="7:8" x14ac:dyDescent="0.25">
      <c r="G473" s="1"/>
      <c r="H473" s="1"/>
    </row>
    <row r="474" spans="7:8" x14ac:dyDescent="0.25">
      <c r="G474" s="1"/>
      <c r="H474" s="1"/>
    </row>
    <row r="475" spans="7:8" x14ac:dyDescent="0.25">
      <c r="G475" s="1"/>
      <c r="H475" s="1"/>
    </row>
    <row r="476" spans="7:8" x14ac:dyDescent="0.25">
      <c r="G476" s="1"/>
      <c r="H476" s="1"/>
    </row>
    <row r="477" spans="7:8" x14ac:dyDescent="0.25">
      <c r="G477" s="1"/>
      <c r="H477" s="1"/>
    </row>
    <row r="478" spans="7:8" x14ac:dyDescent="0.25">
      <c r="G478" s="1"/>
      <c r="H478" s="1"/>
    </row>
    <row r="479" spans="7:8" x14ac:dyDescent="0.25">
      <c r="G479" s="1"/>
      <c r="H479" s="1"/>
    </row>
    <row r="480" spans="7:8" x14ac:dyDescent="0.25">
      <c r="G480" s="1"/>
      <c r="H480" s="1"/>
    </row>
    <row r="481" spans="7:8" x14ac:dyDescent="0.25">
      <c r="G481" s="1"/>
      <c r="H481" s="1"/>
    </row>
    <row r="482" spans="7:8" x14ac:dyDescent="0.25">
      <c r="G482" s="1"/>
      <c r="H482" s="1"/>
    </row>
    <row r="483" spans="7:8" x14ac:dyDescent="0.25">
      <c r="G483" s="1"/>
      <c r="H483" s="1"/>
    </row>
    <row r="484" spans="7:8" x14ac:dyDescent="0.25">
      <c r="G484" s="1"/>
      <c r="H484" s="1"/>
    </row>
    <row r="485" spans="7:8" x14ac:dyDescent="0.25">
      <c r="G485" s="1"/>
      <c r="H485" s="1"/>
    </row>
    <row r="486" spans="7:8" x14ac:dyDescent="0.25">
      <c r="G486" s="1"/>
      <c r="H486" s="1"/>
    </row>
    <row r="487" spans="7:8" x14ac:dyDescent="0.25">
      <c r="G487" s="1"/>
      <c r="H487" s="1"/>
    </row>
    <row r="488" spans="7:8" x14ac:dyDescent="0.25">
      <c r="G488" s="1"/>
      <c r="H488" s="1"/>
    </row>
    <row r="489" spans="7:8" x14ac:dyDescent="0.25">
      <c r="G489" s="1"/>
      <c r="H489" s="1"/>
    </row>
    <row r="490" spans="7:8" x14ac:dyDescent="0.25">
      <c r="G490" s="1"/>
      <c r="H490" s="1"/>
    </row>
    <row r="491" spans="7:8" x14ac:dyDescent="0.25">
      <c r="G491" s="1"/>
      <c r="H491" s="1"/>
    </row>
    <row r="492" spans="7:8" x14ac:dyDescent="0.25">
      <c r="G492" s="1"/>
      <c r="H492" s="1"/>
    </row>
    <row r="493" spans="7:8" x14ac:dyDescent="0.25">
      <c r="G493" s="1"/>
      <c r="H493" s="1"/>
    </row>
    <row r="494" spans="7:8" x14ac:dyDescent="0.25">
      <c r="G494" s="1"/>
      <c r="H494" s="1"/>
    </row>
    <row r="495" spans="7:8" x14ac:dyDescent="0.25">
      <c r="G495" s="1"/>
      <c r="H495" s="1"/>
    </row>
    <row r="496" spans="7:8" x14ac:dyDescent="0.25">
      <c r="G496" s="1"/>
      <c r="H496" s="1"/>
    </row>
    <row r="497" spans="7:8" x14ac:dyDescent="0.25">
      <c r="G497" s="1"/>
      <c r="H497" s="1"/>
    </row>
    <row r="498" spans="7:8" x14ac:dyDescent="0.25">
      <c r="G498" s="1"/>
      <c r="H498" s="1"/>
    </row>
    <row r="499" spans="7:8" x14ac:dyDescent="0.25">
      <c r="G499" s="1"/>
      <c r="H499" s="1"/>
    </row>
    <row r="500" spans="7:8" x14ac:dyDescent="0.25">
      <c r="G500" s="1"/>
      <c r="H500" s="1"/>
    </row>
    <row r="501" spans="7:8" x14ac:dyDescent="0.25">
      <c r="G501" s="1"/>
      <c r="H501" s="1"/>
    </row>
    <row r="502" spans="7:8" x14ac:dyDescent="0.25">
      <c r="G502" s="1"/>
      <c r="H502" s="1"/>
    </row>
    <row r="503" spans="7:8" x14ac:dyDescent="0.25">
      <c r="G503" s="1"/>
      <c r="H503" s="1"/>
    </row>
    <row r="504" spans="7:8" x14ac:dyDescent="0.25">
      <c r="G504" s="1"/>
      <c r="H504" s="1"/>
    </row>
    <row r="505" spans="7:8" x14ac:dyDescent="0.25">
      <c r="G505" s="1"/>
      <c r="H505" s="1"/>
    </row>
    <row r="506" spans="7:8" x14ac:dyDescent="0.25">
      <c r="G506" s="1"/>
      <c r="H506" s="1"/>
    </row>
    <row r="507" spans="7:8" x14ac:dyDescent="0.25">
      <c r="G507" s="1"/>
      <c r="H507" s="1"/>
    </row>
    <row r="508" spans="7:8" x14ac:dyDescent="0.25">
      <c r="G508" s="1"/>
      <c r="H508" s="1"/>
    </row>
    <row r="509" spans="7:8" x14ac:dyDescent="0.25">
      <c r="G509" s="1"/>
      <c r="H509" s="1"/>
    </row>
    <row r="510" spans="7:8" x14ac:dyDescent="0.25">
      <c r="G510" s="1"/>
      <c r="H510" s="1"/>
    </row>
    <row r="511" spans="7:8" x14ac:dyDescent="0.25">
      <c r="G511" s="1"/>
      <c r="H511" s="1"/>
    </row>
    <row r="512" spans="7:8" x14ac:dyDescent="0.25">
      <c r="G512" s="1"/>
      <c r="H512" s="1"/>
    </row>
    <row r="513" spans="7:8" x14ac:dyDescent="0.25">
      <c r="G513" s="1"/>
      <c r="H513" s="1"/>
    </row>
    <row r="514" spans="7:8" x14ac:dyDescent="0.25">
      <c r="G514" s="1"/>
      <c r="H514" s="1"/>
    </row>
    <row r="515" spans="7:8" x14ac:dyDescent="0.25">
      <c r="G515" s="1"/>
      <c r="H515" s="1"/>
    </row>
    <row r="516" spans="7:8" x14ac:dyDescent="0.25">
      <c r="G516" s="1"/>
      <c r="H516" s="1"/>
    </row>
    <row r="517" spans="7:8" x14ac:dyDescent="0.25">
      <c r="G517" s="1"/>
      <c r="H517" s="1"/>
    </row>
    <row r="518" spans="7:8" x14ac:dyDescent="0.25">
      <c r="G518" s="1"/>
      <c r="H518" s="1"/>
    </row>
    <row r="519" spans="7:8" x14ac:dyDescent="0.25">
      <c r="G519" s="1"/>
      <c r="H519" s="1"/>
    </row>
    <row r="520" spans="7:8" x14ac:dyDescent="0.25">
      <c r="G520" s="1"/>
      <c r="H520" s="1"/>
    </row>
    <row r="521" spans="7:8" x14ac:dyDescent="0.25">
      <c r="G521" s="1"/>
      <c r="H521" s="1"/>
    </row>
    <row r="522" spans="7:8" x14ac:dyDescent="0.25">
      <c r="G522" s="1"/>
      <c r="H522" s="1"/>
    </row>
    <row r="523" spans="7:8" x14ac:dyDescent="0.25">
      <c r="G523" s="1"/>
      <c r="H523" s="1"/>
    </row>
    <row r="524" spans="7:8" x14ac:dyDescent="0.25">
      <c r="G524" s="1"/>
      <c r="H524" s="1"/>
    </row>
    <row r="525" spans="7:8" x14ac:dyDescent="0.25">
      <c r="G525" s="1"/>
      <c r="H525" s="1"/>
    </row>
    <row r="526" spans="7:8" x14ac:dyDescent="0.25">
      <c r="G526" s="1"/>
      <c r="H526" s="1"/>
    </row>
    <row r="527" spans="7:8" x14ac:dyDescent="0.25">
      <c r="G527" s="1"/>
      <c r="H527" s="1"/>
    </row>
    <row r="528" spans="7:8" x14ac:dyDescent="0.25">
      <c r="G528" s="1"/>
      <c r="H528" s="1"/>
    </row>
    <row r="529" spans="7:8" x14ac:dyDescent="0.25">
      <c r="G529" s="1"/>
      <c r="H529" s="1"/>
    </row>
    <row r="530" spans="7:8" x14ac:dyDescent="0.25">
      <c r="G530" s="1"/>
      <c r="H530" s="1"/>
    </row>
    <row r="531" spans="7:8" x14ac:dyDescent="0.25">
      <c r="G531" s="1"/>
      <c r="H531" s="1"/>
    </row>
    <row r="532" spans="7:8" x14ac:dyDescent="0.25">
      <c r="G532" s="1"/>
      <c r="H532" s="1"/>
    </row>
    <row r="533" spans="7:8" x14ac:dyDescent="0.25">
      <c r="G533" s="1"/>
      <c r="H533" s="1"/>
    </row>
    <row r="534" spans="7:8" x14ac:dyDescent="0.25">
      <c r="G534" s="1"/>
      <c r="H534" s="1"/>
    </row>
    <row r="535" spans="7:8" x14ac:dyDescent="0.25">
      <c r="G535" s="1"/>
      <c r="H535" s="1"/>
    </row>
    <row r="536" spans="7:8" x14ac:dyDescent="0.25">
      <c r="G536" s="1"/>
      <c r="H536" s="1"/>
    </row>
    <row r="537" spans="7:8" x14ac:dyDescent="0.25">
      <c r="G537" s="1"/>
      <c r="H537" s="1"/>
    </row>
    <row r="538" spans="7:8" x14ac:dyDescent="0.25">
      <c r="G538" s="1"/>
      <c r="H538" s="1"/>
    </row>
    <row r="539" spans="7:8" x14ac:dyDescent="0.25">
      <c r="G539" s="1"/>
      <c r="H539" s="1"/>
    </row>
    <row r="540" spans="7:8" x14ac:dyDescent="0.25">
      <c r="G540" s="1"/>
      <c r="H540" s="1"/>
    </row>
    <row r="541" spans="7:8" x14ac:dyDescent="0.25">
      <c r="G541" s="1"/>
    </row>
    <row r="542" spans="7:8" x14ac:dyDescent="0.25">
      <c r="G542" s="1"/>
    </row>
    <row r="543" spans="7:8" x14ac:dyDescent="0.25">
      <c r="G543" s="1"/>
    </row>
    <row r="544" spans="7:8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</sheetData>
  <mergeCells count="2">
    <mergeCell ref="F44:J44"/>
    <mergeCell ref="F9:J9"/>
  </mergeCells>
  <pageMargins left="0.7" right="0.7" top="0.75" bottom="0.75" header="0.3" footer="0.3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88FB-9648-475F-A7FC-34811120D644}">
  <sheetPr>
    <tabColor theme="9" tint="0.39997558519241921"/>
  </sheetPr>
  <dimension ref="A2:O195"/>
  <sheetViews>
    <sheetView showGridLines="0" workbookViewId="0">
      <selection sqref="A1:XFD1048576"/>
    </sheetView>
  </sheetViews>
  <sheetFormatPr baseColWidth="10" defaultRowHeight="15" x14ac:dyDescent="0.25"/>
  <cols>
    <col min="1" max="1" width="11.85546875" customWidth="1"/>
    <col min="2" max="14" width="8.7109375" style="17" customWidth="1"/>
    <col min="15" max="15" width="19.85546875" style="17" customWidth="1"/>
  </cols>
  <sheetData>
    <row r="2" spans="1:15" x14ac:dyDescent="0.25">
      <c r="C2" s="45" t="s">
        <v>40</v>
      </c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5" x14ac:dyDescent="0.25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8" spans="1:15" x14ac:dyDescent="0.25">
      <c r="H8" s="18"/>
      <c r="I8" s="18"/>
      <c r="J8" s="18"/>
      <c r="K8" s="18"/>
    </row>
    <row r="9" spans="1:15" x14ac:dyDescent="0.25">
      <c r="F9" s="44" t="s">
        <v>30</v>
      </c>
      <c r="G9" s="44"/>
      <c r="H9" s="44"/>
      <c r="I9" s="44"/>
      <c r="J9" s="44"/>
    </row>
    <row r="10" spans="1:15" x14ac:dyDescent="0.25">
      <c r="B10" s="15" t="s">
        <v>10</v>
      </c>
      <c r="C10" s="15" t="s">
        <v>11</v>
      </c>
      <c r="D10" s="15" t="s">
        <v>12</v>
      </c>
      <c r="E10" s="15" t="s">
        <v>13</v>
      </c>
      <c r="F10" s="15" t="s">
        <v>14</v>
      </c>
      <c r="G10" s="15" t="s">
        <v>15</v>
      </c>
      <c r="H10" s="15" t="s">
        <v>16</v>
      </c>
      <c r="I10" s="15" t="s">
        <v>17</v>
      </c>
      <c r="J10" s="15" t="s">
        <v>18</v>
      </c>
      <c r="K10" s="15" t="s">
        <v>19</v>
      </c>
      <c r="L10" s="15" t="s">
        <v>20</v>
      </c>
      <c r="M10" s="15" t="s">
        <v>21</v>
      </c>
      <c r="N10" s="16" t="s">
        <v>22</v>
      </c>
    </row>
    <row r="11" spans="1:15" x14ac:dyDescent="0.25">
      <c r="A11" s="4" t="s">
        <v>23</v>
      </c>
      <c r="B11" s="19">
        <v>0</v>
      </c>
      <c r="C11" s="19">
        <v>2</v>
      </c>
      <c r="D11" s="19">
        <v>2</v>
      </c>
      <c r="E11" s="19">
        <v>1</v>
      </c>
      <c r="F11" s="19">
        <v>1</v>
      </c>
      <c r="G11" s="19">
        <v>1</v>
      </c>
      <c r="H11" s="19">
        <v>1</v>
      </c>
      <c r="I11" s="19">
        <v>1</v>
      </c>
      <c r="J11" s="19">
        <v>0</v>
      </c>
      <c r="K11" s="19">
        <v>1</v>
      </c>
      <c r="L11" s="19">
        <v>1</v>
      </c>
      <c r="M11" s="19">
        <v>0</v>
      </c>
      <c r="N11" s="20">
        <f>SUM(B11:M11)</f>
        <v>11</v>
      </c>
    </row>
    <row r="12" spans="1:15" x14ac:dyDescent="0.25">
      <c r="A12" s="4" t="s">
        <v>24</v>
      </c>
      <c r="B12" s="34">
        <v>1</v>
      </c>
      <c r="C12" s="34">
        <v>1</v>
      </c>
      <c r="D12" s="21">
        <v>1</v>
      </c>
      <c r="E12" s="21">
        <v>2</v>
      </c>
      <c r="F12" s="21">
        <v>0</v>
      </c>
      <c r="G12" s="21">
        <v>0</v>
      </c>
      <c r="H12" s="21">
        <v>2</v>
      </c>
      <c r="I12" s="21">
        <v>1</v>
      </c>
      <c r="J12" s="21">
        <v>2</v>
      </c>
      <c r="K12" s="21">
        <v>0</v>
      </c>
      <c r="L12" s="21">
        <v>0</v>
      </c>
      <c r="M12" s="21">
        <v>0</v>
      </c>
      <c r="N12" s="20">
        <f>SUM(B12:M12)</f>
        <v>10</v>
      </c>
    </row>
    <row r="13" spans="1:15" x14ac:dyDescent="0.25">
      <c r="A13" s="4" t="s">
        <v>25</v>
      </c>
      <c r="B13" s="19">
        <f>A14+B11-B12</f>
        <v>8</v>
      </c>
      <c r="C13" s="19">
        <f t="shared" ref="C13:M13" si="0">B13+C11-C12</f>
        <v>9</v>
      </c>
      <c r="D13" s="19">
        <f t="shared" si="0"/>
        <v>10</v>
      </c>
      <c r="E13" s="19">
        <f t="shared" si="0"/>
        <v>9</v>
      </c>
      <c r="F13" s="19">
        <f t="shared" si="0"/>
        <v>10</v>
      </c>
      <c r="G13" s="19">
        <f t="shared" si="0"/>
        <v>11</v>
      </c>
      <c r="H13" s="19">
        <f t="shared" si="0"/>
        <v>10</v>
      </c>
      <c r="I13" s="19">
        <f t="shared" si="0"/>
        <v>10</v>
      </c>
      <c r="J13" s="19">
        <f t="shared" si="0"/>
        <v>8</v>
      </c>
      <c r="K13" s="19">
        <f t="shared" si="0"/>
        <v>9</v>
      </c>
      <c r="L13" s="19">
        <f t="shared" si="0"/>
        <v>10</v>
      </c>
      <c r="M13" s="19">
        <f t="shared" si="0"/>
        <v>10</v>
      </c>
      <c r="N13" s="20">
        <f>A14+N11-N12</f>
        <v>10</v>
      </c>
    </row>
    <row r="14" spans="1:15" x14ac:dyDescent="0.25">
      <c r="A14" s="6">
        <v>9</v>
      </c>
    </row>
    <row r="15" spans="1:15" x14ac:dyDescent="0.25">
      <c r="A15" s="4" t="s">
        <v>26</v>
      </c>
      <c r="B15" s="22">
        <f>(B12*100/B13)/3</f>
        <v>4.166666666666667</v>
      </c>
      <c r="C15" s="22">
        <f t="shared" ref="C15:M15" si="1">C12*100/C13</f>
        <v>11.111111111111111</v>
      </c>
      <c r="D15" s="22">
        <f t="shared" si="1"/>
        <v>10</v>
      </c>
      <c r="E15" s="22">
        <f t="shared" si="1"/>
        <v>22.222222222222221</v>
      </c>
      <c r="F15" s="22">
        <f t="shared" si="1"/>
        <v>0</v>
      </c>
      <c r="G15" s="22">
        <f t="shared" si="1"/>
        <v>0</v>
      </c>
      <c r="H15" s="22">
        <f t="shared" si="1"/>
        <v>20</v>
      </c>
      <c r="I15" s="22">
        <f t="shared" si="1"/>
        <v>10</v>
      </c>
      <c r="J15" s="22">
        <f t="shared" si="1"/>
        <v>25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3">
        <v>8.5399999999999991</v>
      </c>
      <c r="O15" s="24" t="s">
        <v>27</v>
      </c>
    </row>
    <row r="16" spans="1:15" x14ac:dyDescent="0.25">
      <c r="N16" s="25">
        <f>N12*100/N13</f>
        <v>100</v>
      </c>
      <c r="O16" s="24" t="s">
        <v>28</v>
      </c>
    </row>
    <row r="18" spans="1:15" x14ac:dyDescent="0.25">
      <c r="F18" s="44" t="s">
        <v>0</v>
      </c>
      <c r="G18" s="44"/>
      <c r="H18" s="44"/>
      <c r="I18" s="44"/>
      <c r="J18" s="44"/>
    </row>
    <row r="19" spans="1:15" x14ac:dyDescent="0.25">
      <c r="B19" s="15" t="s">
        <v>10</v>
      </c>
      <c r="C19" s="15" t="s">
        <v>11</v>
      </c>
      <c r="D19" s="15" t="s">
        <v>12</v>
      </c>
      <c r="E19" s="15" t="s">
        <v>13</v>
      </c>
      <c r="F19" s="15" t="s">
        <v>14</v>
      </c>
      <c r="G19" s="15" t="s">
        <v>15</v>
      </c>
      <c r="H19" s="15" t="s">
        <v>16</v>
      </c>
      <c r="I19" s="15" t="s">
        <v>17</v>
      </c>
      <c r="J19" s="15" t="s">
        <v>18</v>
      </c>
      <c r="K19" s="15" t="s">
        <v>19</v>
      </c>
      <c r="L19" s="15" t="s">
        <v>20</v>
      </c>
      <c r="M19" s="15" t="s">
        <v>21</v>
      </c>
      <c r="N19" s="16" t="s">
        <v>22</v>
      </c>
    </row>
    <row r="20" spans="1:15" x14ac:dyDescent="0.25">
      <c r="A20" s="4" t="s">
        <v>23</v>
      </c>
      <c r="B20" s="19">
        <v>1</v>
      </c>
      <c r="C20" s="19">
        <v>0</v>
      </c>
      <c r="D20" s="19">
        <v>0</v>
      </c>
      <c r="E20" s="19">
        <v>0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0</v>
      </c>
      <c r="M20" s="19">
        <v>0</v>
      </c>
      <c r="N20" s="20">
        <f>SUM(B20:M20)</f>
        <v>7</v>
      </c>
    </row>
    <row r="21" spans="1:15" x14ac:dyDescent="0.25">
      <c r="A21" s="4" t="s">
        <v>24</v>
      </c>
      <c r="B21" s="34">
        <v>1</v>
      </c>
      <c r="C21" s="34">
        <v>1</v>
      </c>
      <c r="D21" s="21">
        <v>0</v>
      </c>
      <c r="E21" s="21">
        <v>0</v>
      </c>
      <c r="F21" s="21">
        <v>1</v>
      </c>
      <c r="G21" s="21">
        <v>1</v>
      </c>
      <c r="H21" s="21">
        <v>1</v>
      </c>
      <c r="I21" s="21">
        <v>0</v>
      </c>
      <c r="J21" s="21">
        <v>1</v>
      </c>
      <c r="K21" s="21">
        <v>0</v>
      </c>
      <c r="L21" s="21">
        <v>1</v>
      </c>
      <c r="M21" s="21">
        <v>0</v>
      </c>
      <c r="N21" s="20">
        <f>SUM(B21:M21)</f>
        <v>7</v>
      </c>
    </row>
    <row r="22" spans="1:15" x14ac:dyDescent="0.25">
      <c r="A22" s="4" t="s">
        <v>25</v>
      </c>
      <c r="B22" s="19">
        <f>A23+B20-B21</f>
        <v>7</v>
      </c>
      <c r="C22" s="19">
        <f t="shared" ref="C22:M22" si="2">B22+C20-C21</f>
        <v>6</v>
      </c>
      <c r="D22" s="19">
        <f t="shared" si="2"/>
        <v>6</v>
      </c>
      <c r="E22" s="19">
        <f t="shared" si="2"/>
        <v>6</v>
      </c>
      <c r="F22" s="19">
        <f t="shared" si="2"/>
        <v>6</v>
      </c>
      <c r="G22" s="19">
        <f t="shared" si="2"/>
        <v>6</v>
      </c>
      <c r="H22" s="19">
        <f t="shared" si="2"/>
        <v>6</v>
      </c>
      <c r="I22" s="19">
        <f t="shared" si="2"/>
        <v>7</v>
      </c>
      <c r="J22" s="19">
        <f t="shared" si="2"/>
        <v>7</v>
      </c>
      <c r="K22" s="19">
        <f t="shared" si="2"/>
        <v>8</v>
      </c>
      <c r="L22" s="19">
        <f t="shared" si="2"/>
        <v>7</v>
      </c>
      <c r="M22" s="19">
        <f t="shared" si="2"/>
        <v>7</v>
      </c>
      <c r="N22" s="20">
        <f>A23+N20-N21</f>
        <v>7</v>
      </c>
    </row>
    <row r="23" spans="1:15" x14ac:dyDescent="0.25">
      <c r="A23" s="6">
        <v>7</v>
      </c>
    </row>
    <row r="24" spans="1:15" x14ac:dyDescent="0.25">
      <c r="A24" s="4" t="s">
        <v>26</v>
      </c>
      <c r="B24" s="22">
        <f t="shared" ref="B24:M24" si="3">B21*100/B22</f>
        <v>14.285714285714286</v>
      </c>
      <c r="C24" s="22">
        <f t="shared" si="3"/>
        <v>16.666666666666668</v>
      </c>
      <c r="D24" s="22">
        <f t="shared" si="3"/>
        <v>0</v>
      </c>
      <c r="E24" s="22">
        <f t="shared" si="3"/>
        <v>0</v>
      </c>
      <c r="F24" s="22">
        <f t="shared" si="3"/>
        <v>16.666666666666668</v>
      </c>
      <c r="G24" s="22">
        <f t="shared" si="3"/>
        <v>16.666666666666668</v>
      </c>
      <c r="H24" s="22">
        <f t="shared" si="3"/>
        <v>16.666666666666668</v>
      </c>
      <c r="I24" s="22">
        <f t="shared" si="3"/>
        <v>0</v>
      </c>
      <c r="J24" s="22">
        <f t="shared" si="3"/>
        <v>14.285714285714286</v>
      </c>
      <c r="K24" s="22">
        <f t="shared" si="3"/>
        <v>0</v>
      </c>
      <c r="L24" s="22">
        <f t="shared" si="3"/>
        <v>14.285714285714286</v>
      </c>
      <c r="M24" s="22">
        <f t="shared" si="3"/>
        <v>0</v>
      </c>
      <c r="N24" s="23">
        <v>9.1300000000000008</v>
      </c>
      <c r="O24" s="24" t="s">
        <v>27</v>
      </c>
    </row>
    <row r="25" spans="1:15" x14ac:dyDescent="0.25">
      <c r="N25" s="25">
        <f>N21*100/N22</f>
        <v>100</v>
      </c>
      <c r="O25" s="24" t="s">
        <v>28</v>
      </c>
    </row>
    <row r="26" spans="1:15" x14ac:dyDescent="0.25">
      <c r="H26" s="18"/>
      <c r="I26" s="18"/>
      <c r="J26" s="18"/>
      <c r="K26" s="18"/>
    </row>
    <row r="27" spans="1:15" x14ac:dyDescent="0.25">
      <c r="F27" s="44" t="s">
        <v>1</v>
      </c>
      <c r="G27" s="44"/>
      <c r="H27" s="44"/>
      <c r="I27" s="44"/>
      <c r="J27" s="44"/>
    </row>
    <row r="28" spans="1:15" x14ac:dyDescent="0.25">
      <c r="B28" s="15" t="s">
        <v>10</v>
      </c>
      <c r="C28" s="15" t="s">
        <v>11</v>
      </c>
      <c r="D28" s="15" t="s">
        <v>12</v>
      </c>
      <c r="E28" s="15" t="s">
        <v>13</v>
      </c>
      <c r="F28" s="15" t="s">
        <v>14</v>
      </c>
      <c r="G28" s="15" t="s">
        <v>15</v>
      </c>
      <c r="H28" s="15" t="s">
        <v>16</v>
      </c>
      <c r="I28" s="15" t="s">
        <v>17</v>
      </c>
      <c r="J28" s="15" t="s">
        <v>18</v>
      </c>
      <c r="K28" s="15" t="s">
        <v>19</v>
      </c>
      <c r="L28" s="15" t="s">
        <v>20</v>
      </c>
      <c r="M28" s="15" t="s">
        <v>21</v>
      </c>
      <c r="N28" s="16" t="s">
        <v>22</v>
      </c>
    </row>
    <row r="29" spans="1:15" x14ac:dyDescent="0.25">
      <c r="A29" s="4" t="s">
        <v>23</v>
      </c>
      <c r="B29" s="19">
        <v>2</v>
      </c>
      <c r="C29" s="19">
        <v>1</v>
      </c>
      <c r="D29" s="19">
        <v>1</v>
      </c>
      <c r="E29" s="19">
        <v>0</v>
      </c>
      <c r="F29" s="19">
        <v>1</v>
      </c>
      <c r="G29" s="19">
        <v>0</v>
      </c>
      <c r="H29" s="19">
        <v>0</v>
      </c>
      <c r="I29" s="19">
        <v>0</v>
      </c>
      <c r="J29" s="19">
        <v>3</v>
      </c>
      <c r="K29" s="19">
        <v>2</v>
      </c>
      <c r="L29" s="19">
        <v>0</v>
      </c>
      <c r="M29" s="19">
        <v>1</v>
      </c>
      <c r="N29" s="20">
        <f>SUM(B29:M29)</f>
        <v>11</v>
      </c>
    </row>
    <row r="30" spans="1:15" x14ac:dyDescent="0.25">
      <c r="A30" s="4" t="s">
        <v>24</v>
      </c>
      <c r="B30" s="21">
        <v>0</v>
      </c>
      <c r="C30" s="21">
        <v>0</v>
      </c>
      <c r="D30" s="21">
        <v>1</v>
      </c>
      <c r="E30" s="21">
        <v>1</v>
      </c>
      <c r="F30" s="21">
        <v>0</v>
      </c>
      <c r="G30" s="21">
        <v>0</v>
      </c>
      <c r="H30" s="21">
        <v>0</v>
      </c>
      <c r="I30" s="21">
        <v>1</v>
      </c>
      <c r="J30" s="21">
        <v>2</v>
      </c>
      <c r="K30" s="21">
        <v>0</v>
      </c>
      <c r="L30" s="21">
        <v>0</v>
      </c>
      <c r="M30" s="21">
        <v>1</v>
      </c>
      <c r="N30" s="20">
        <f>SUM(B30:M30)</f>
        <v>6</v>
      </c>
    </row>
    <row r="31" spans="1:15" x14ac:dyDescent="0.25">
      <c r="A31" s="4" t="s">
        <v>25</v>
      </c>
      <c r="B31" s="19">
        <f>A32+B29-B30</f>
        <v>17</v>
      </c>
      <c r="C31" s="19">
        <f t="shared" ref="C31:M31" si="4">B31+C29-C30</f>
        <v>18</v>
      </c>
      <c r="D31" s="19">
        <f t="shared" si="4"/>
        <v>18</v>
      </c>
      <c r="E31" s="19">
        <f t="shared" si="4"/>
        <v>17</v>
      </c>
      <c r="F31" s="19">
        <f t="shared" si="4"/>
        <v>18</v>
      </c>
      <c r="G31" s="19">
        <f t="shared" si="4"/>
        <v>18</v>
      </c>
      <c r="H31" s="19">
        <f t="shared" si="4"/>
        <v>18</v>
      </c>
      <c r="I31" s="19">
        <f t="shared" si="4"/>
        <v>17</v>
      </c>
      <c r="J31" s="19">
        <f t="shared" si="4"/>
        <v>18</v>
      </c>
      <c r="K31" s="19">
        <f t="shared" si="4"/>
        <v>20</v>
      </c>
      <c r="L31" s="19">
        <f t="shared" si="4"/>
        <v>20</v>
      </c>
      <c r="M31" s="19">
        <f t="shared" si="4"/>
        <v>20</v>
      </c>
      <c r="N31" s="20">
        <f>A32+N29-N30</f>
        <v>20</v>
      </c>
    </row>
    <row r="32" spans="1:15" x14ac:dyDescent="0.25">
      <c r="A32" s="6">
        <v>15</v>
      </c>
    </row>
    <row r="33" spans="1:15" x14ac:dyDescent="0.25">
      <c r="A33" s="4" t="s">
        <v>26</v>
      </c>
      <c r="B33" s="22">
        <f t="shared" ref="B33:M33" si="5">B30*100/B31</f>
        <v>0</v>
      </c>
      <c r="C33" s="22">
        <f t="shared" si="5"/>
        <v>0</v>
      </c>
      <c r="D33" s="22">
        <f t="shared" si="5"/>
        <v>5.5555555555555554</v>
      </c>
      <c r="E33" s="22">
        <f t="shared" si="5"/>
        <v>5.882352941176471</v>
      </c>
      <c r="F33" s="22">
        <f t="shared" si="5"/>
        <v>0</v>
      </c>
      <c r="G33" s="22">
        <f t="shared" si="5"/>
        <v>0</v>
      </c>
      <c r="H33" s="22">
        <f t="shared" si="5"/>
        <v>0</v>
      </c>
      <c r="I33" s="22">
        <f t="shared" si="5"/>
        <v>5.882352941176471</v>
      </c>
      <c r="J33" s="22">
        <f t="shared" si="5"/>
        <v>11.111111111111111</v>
      </c>
      <c r="K33" s="22">
        <f t="shared" si="5"/>
        <v>0</v>
      </c>
      <c r="L33" s="22">
        <f t="shared" si="5"/>
        <v>0</v>
      </c>
      <c r="M33" s="22">
        <f t="shared" si="5"/>
        <v>5</v>
      </c>
      <c r="N33" s="35">
        <v>2.79</v>
      </c>
      <c r="O33" s="24" t="s">
        <v>27</v>
      </c>
    </row>
    <row r="34" spans="1:15" x14ac:dyDescent="0.25">
      <c r="N34" s="25">
        <f>N30*100/N31</f>
        <v>30</v>
      </c>
      <c r="O34" s="24" t="s">
        <v>28</v>
      </c>
    </row>
    <row r="35" spans="1:15" x14ac:dyDescent="0.25">
      <c r="H35" s="18"/>
      <c r="I35" s="18"/>
      <c r="J35" s="18"/>
      <c r="K35" s="18"/>
    </row>
    <row r="36" spans="1:15" x14ac:dyDescent="0.25">
      <c r="F36" s="44" t="s">
        <v>33</v>
      </c>
      <c r="G36" s="44"/>
      <c r="H36" s="44"/>
      <c r="I36" s="44"/>
      <c r="J36" s="44"/>
    </row>
    <row r="37" spans="1:15" x14ac:dyDescent="0.25">
      <c r="B37" s="15" t="s">
        <v>10</v>
      </c>
      <c r="C37" s="15" t="s">
        <v>11</v>
      </c>
      <c r="D37" s="15" t="s">
        <v>12</v>
      </c>
      <c r="E37" s="15" t="s">
        <v>13</v>
      </c>
      <c r="F37" s="15" t="s">
        <v>14</v>
      </c>
      <c r="G37" s="15" t="s">
        <v>15</v>
      </c>
      <c r="H37" s="15" t="s">
        <v>16</v>
      </c>
      <c r="I37" s="15" t="s">
        <v>17</v>
      </c>
      <c r="J37" s="15" t="s">
        <v>18</v>
      </c>
      <c r="K37" s="15" t="s">
        <v>19</v>
      </c>
      <c r="L37" s="15" t="s">
        <v>20</v>
      </c>
      <c r="M37" s="15" t="s">
        <v>21</v>
      </c>
      <c r="N37" s="16" t="s">
        <v>22</v>
      </c>
    </row>
    <row r="38" spans="1:15" x14ac:dyDescent="0.25">
      <c r="A38" s="4" t="s">
        <v>23</v>
      </c>
      <c r="B38" s="19">
        <v>2</v>
      </c>
      <c r="C38" s="19">
        <v>0</v>
      </c>
      <c r="D38" s="19">
        <v>0</v>
      </c>
      <c r="E38" s="19">
        <v>3</v>
      </c>
      <c r="F38" s="19">
        <v>0</v>
      </c>
      <c r="G38" s="19">
        <v>2</v>
      </c>
      <c r="H38" s="19">
        <v>1</v>
      </c>
      <c r="I38" s="19">
        <v>0</v>
      </c>
      <c r="J38" s="19">
        <v>1</v>
      </c>
      <c r="K38" s="19">
        <v>3</v>
      </c>
      <c r="L38" s="19">
        <v>2</v>
      </c>
      <c r="M38" s="19">
        <v>2</v>
      </c>
      <c r="N38" s="20">
        <f>SUM(B38:M38)</f>
        <v>16</v>
      </c>
    </row>
    <row r="39" spans="1:15" x14ac:dyDescent="0.25">
      <c r="A39" s="4" t="s">
        <v>24</v>
      </c>
      <c r="B39" s="34">
        <v>2</v>
      </c>
      <c r="C39" s="34">
        <v>0</v>
      </c>
      <c r="D39" s="21">
        <v>0</v>
      </c>
      <c r="E39" s="21">
        <v>3</v>
      </c>
      <c r="F39" s="21">
        <v>0</v>
      </c>
      <c r="G39" s="21">
        <v>2</v>
      </c>
      <c r="H39" s="21">
        <v>1</v>
      </c>
      <c r="I39" s="21">
        <v>0</v>
      </c>
      <c r="J39" s="21">
        <v>2</v>
      </c>
      <c r="K39" s="21">
        <v>3</v>
      </c>
      <c r="L39" s="21">
        <v>0</v>
      </c>
      <c r="M39" s="21">
        <v>0</v>
      </c>
      <c r="N39" s="20">
        <f>SUM(B39:M39)</f>
        <v>13</v>
      </c>
    </row>
    <row r="40" spans="1:15" x14ac:dyDescent="0.25">
      <c r="A40" s="4" t="s">
        <v>25</v>
      </c>
      <c r="B40" s="19">
        <f>A41+B38-B39</f>
        <v>9</v>
      </c>
      <c r="C40" s="19">
        <f t="shared" ref="C40:M40" si="6">B40+C38-C39</f>
        <v>9</v>
      </c>
      <c r="D40" s="19">
        <f t="shared" si="6"/>
        <v>9</v>
      </c>
      <c r="E40" s="19">
        <f t="shared" si="6"/>
        <v>9</v>
      </c>
      <c r="F40" s="19">
        <f t="shared" si="6"/>
        <v>9</v>
      </c>
      <c r="G40" s="19">
        <f t="shared" si="6"/>
        <v>9</v>
      </c>
      <c r="H40" s="19">
        <f t="shared" si="6"/>
        <v>9</v>
      </c>
      <c r="I40" s="19">
        <f t="shared" si="6"/>
        <v>9</v>
      </c>
      <c r="J40" s="19">
        <f t="shared" si="6"/>
        <v>8</v>
      </c>
      <c r="K40" s="19">
        <f t="shared" si="6"/>
        <v>8</v>
      </c>
      <c r="L40" s="19">
        <f t="shared" si="6"/>
        <v>10</v>
      </c>
      <c r="M40" s="19">
        <f t="shared" si="6"/>
        <v>12</v>
      </c>
      <c r="N40" s="20">
        <f>A41+N38-N39</f>
        <v>12</v>
      </c>
    </row>
    <row r="41" spans="1:15" x14ac:dyDescent="0.25">
      <c r="A41" s="6">
        <v>9</v>
      </c>
    </row>
    <row r="42" spans="1:15" x14ac:dyDescent="0.25">
      <c r="A42" s="4" t="s">
        <v>26</v>
      </c>
      <c r="B42" s="22">
        <f t="shared" ref="B42:M42" si="7">B39*100/B40</f>
        <v>22.222222222222221</v>
      </c>
      <c r="C42" s="22">
        <f t="shared" si="7"/>
        <v>0</v>
      </c>
      <c r="D42" s="22">
        <f t="shared" si="7"/>
        <v>0</v>
      </c>
      <c r="E42" s="22">
        <f t="shared" si="7"/>
        <v>33.333333333333336</v>
      </c>
      <c r="F42" s="22">
        <f t="shared" si="7"/>
        <v>0</v>
      </c>
      <c r="G42" s="22">
        <f t="shared" si="7"/>
        <v>22.222222222222221</v>
      </c>
      <c r="H42" s="22">
        <f t="shared" si="7"/>
        <v>11.111111111111111</v>
      </c>
      <c r="I42" s="22">
        <f t="shared" si="7"/>
        <v>0</v>
      </c>
      <c r="J42" s="22">
        <f t="shared" si="7"/>
        <v>25</v>
      </c>
      <c r="K42" s="22">
        <f t="shared" si="7"/>
        <v>37.5</v>
      </c>
      <c r="L42" s="22">
        <f t="shared" si="7"/>
        <v>0</v>
      </c>
      <c r="M42" s="22">
        <f t="shared" si="7"/>
        <v>0</v>
      </c>
      <c r="N42" s="23">
        <v>12.62</v>
      </c>
      <c r="O42" s="24" t="s">
        <v>27</v>
      </c>
    </row>
    <row r="43" spans="1:15" x14ac:dyDescent="0.25">
      <c r="N43" s="25">
        <f>N39*100/N40</f>
        <v>108.33333333333333</v>
      </c>
      <c r="O43" s="24" t="s">
        <v>28</v>
      </c>
    </row>
    <row r="44" spans="1:15" x14ac:dyDescent="0.25">
      <c r="F44" s="44" t="s">
        <v>4</v>
      </c>
      <c r="G44" s="44"/>
      <c r="H44" s="44"/>
      <c r="I44" s="44"/>
      <c r="J44" s="44"/>
    </row>
    <row r="45" spans="1:15" x14ac:dyDescent="0.25">
      <c r="B45" s="15" t="s">
        <v>10</v>
      </c>
      <c r="C45" s="15" t="s">
        <v>11</v>
      </c>
      <c r="D45" s="15" t="s">
        <v>12</v>
      </c>
      <c r="E45" s="15" t="s">
        <v>13</v>
      </c>
      <c r="F45" s="15" t="s">
        <v>14</v>
      </c>
      <c r="G45" s="15" t="s">
        <v>15</v>
      </c>
      <c r="H45" s="15" t="s">
        <v>16</v>
      </c>
      <c r="I45" s="15" t="s">
        <v>17</v>
      </c>
      <c r="J45" s="15" t="s">
        <v>18</v>
      </c>
      <c r="K45" s="15" t="s">
        <v>19</v>
      </c>
      <c r="L45" s="15" t="s">
        <v>20</v>
      </c>
      <c r="M45" s="15" t="s">
        <v>21</v>
      </c>
      <c r="N45" s="16" t="s">
        <v>22</v>
      </c>
    </row>
    <row r="46" spans="1:15" x14ac:dyDescent="0.25">
      <c r="A46" s="4" t="s">
        <v>23</v>
      </c>
      <c r="B46" s="19">
        <v>1</v>
      </c>
      <c r="C46" s="19">
        <v>1</v>
      </c>
      <c r="D46" s="19">
        <v>0</v>
      </c>
      <c r="E46" s="19">
        <v>0</v>
      </c>
      <c r="F46" s="19">
        <v>1</v>
      </c>
      <c r="G46" s="19">
        <v>4</v>
      </c>
      <c r="H46" s="19">
        <v>4</v>
      </c>
      <c r="I46" s="19">
        <v>1</v>
      </c>
      <c r="J46" s="19">
        <v>2</v>
      </c>
      <c r="K46" s="19">
        <v>3</v>
      </c>
      <c r="L46" s="19">
        <v>0</v>
      </c>
      <c r="M46" s="19">
        <v>0</v>
      </c>
      <c r="N46" s="20">
        <f>SUM(B46:M46)</f>
        <v>17</v>
      </c>
    </row>
    <row r="47" spans="1:15" x14ac:dyDescent="0.25">
      <c r="A47" s="4" t="s">
        <v>24</v>
      </c>
      <c r="B47" s="34">
        <v>1</v>
      </c>
      <c r="C47" s="34">
        <v>0</v>
      </c>
      <c r="D47" s="21">
        <v>0</v>
      </c>
      <c r="E47" s="21">
        <v>3</v>
      </c>
      <c r="F47" s="21">
        <v>4</v>
      </c>
      <c r="G47" s="21">
        <v>4</v>
      </c>
      <c r="H47" s="21">
        <v>2</v>
      </c>
      <c r="I47" s="21">
        <v>0</v>
      </c>
      <c r="J47" s="21">
        <v>0</v>
      </c>
      <c r="K47" s="21">
        <v>3</v>
      </c>
      <c r="L47" s="21">
        <v>2</v>
      </c>
      <c r="M47" s="21">
        <v>0</v>
      </c>
      <c r="N47" s="20">
        <f>SUM(B47:M47)</f>
        <v>19</v>
      </c>
    </row>
    <row r="48" spans="1:15" x14ac:dyDescent="0.25">
      <c r="A48" s="4" t="s">
        <v>25</v>
      </c>
      <c r="B48" s="19">
        <f>A49+B46-B47</f>
        <v>11</v>
      </c>
      <c r="C48" s="19">
        <f t="shared" ref="C48:M48" si="8">B48+C46-C47</f>
        <v>12</v>
      </c>
      <c r="D48" s="19">
        <f t="shared" si="8"/>
        <v>12</v>
      </c>
      <c r="E48" s="19">
        <f t="shared" si="8"/>
        <v>9</v>
      </c>
      <c r="F48" s="19">
        <f t="shared" si="8"/>
        <v>6</v>
      </c>
      <c r="G48" s="19">
        <f t="shared" si="8"/>
        <v>6</v>
      </c>
      <c r="H48" s="19">
        <f t="shared" si="8"/>
        <v>8</v>
      </c>
      <c r="I48" s="19">
        <f t="shared" si="8"/>
        <v>9</v>
      </c>
      <c r="J48" s="19">
        <f t="shared" si="8"/>
        <v>11</v>
      </c>
      <c r="K48" s="19">
        <f t="shared" si="8"/>
        <v>11</v>
      </c>
      <c r="L48" s="19">
        <f t="shared" si="8"/>
        <v>9</v>
      </c>
      <c r="M48" s="19">
        <f t="shared" si="8"/>
        <v>9</v>
      </c>
      <c r="N48" s="20">
        <f>A49+N46-N47</f>
        <v>9</v>
      </c>
    </row>
    <row r="49" spans="1:15" x14ac:dyDescent="0.25">
      <c r="A49" s="6">
        <v>11</v>
      </c>
    </row>
    <row r="50" spans="1:15" x14ac:dyDescent="0.25">
      <c r="A50" s="4" t="s">
        <v>26</v>
      </c>
      <c r="B50" s="22">
        <f t="shared" ref="B50:M50" si="9">B47*100/B48</f>
        <v>9.0909090909090917</v>
      </c>
      <c r="C50" s="22">
        <f t="shared" si="9"/>
        <v>0</v>
      </c>
      <c r="D50" s="22">
        <f t="shared" si="9"/>
        <v>0</v>
      </c>
      <c r="E50" s="22">
        <f t="shared" si="9"/>
        <v>33.333333333333336</v>
      </c>
      <c r="F50" s="22">
        <f t="shared" si="9"/>
        <v>66.666666666666671</v>
      </c>
      <c r="G50" s="22">
        <f t="shared" si="9"/>
        <v>66.666666666666671</v>
      </c>
      <c r="H50" s="22">
        <f t="shared" si="9"/>
        <v>25</v>
      </c>
      <c r="I50" s="22">
        <f t="shared" si="9"/>
        <v>0</v>
      </c>
      <c r="J50" s="22">
        <f t="shared" si="9"/>
        <v>0</v>
      </c>
      <c r="K50" s="22">
        <f t="shared" si="9"/>
        <v>27.272727272727273</v>
      </c>
      <c r="L50" s="22">
        <f t="shared" si="9"/>
        <v>22.222222222222221</v>
      </c>
      <c r="M50" s="22">
        <f t="shared" si="9"/>
        <v>0</v>
      </c>
      <c r="N50" s="23">
        <v>20.85</v>
      </c>
      <c r="O50" s="24" t="s">
        <v>27</v>
      </c>
    </row>
    <row r="51" spans="1:15" x14ac:dyDescent="0.25">
      <c r="N51" s="25">
        <f>N47*100/N48</f>
        <v>211.11111111111111</v>
      </c>
      <c r="O51" s="24" t="s">
        <v>28</v>
      </c>
    </row>
    <row r="52" spans="1:15" x14ac:dyDescent="0.25">
      <c r="H52" s="18"/>
      <c r="I52" s="18"/>
      <c r="J52" s="18"/>
      <c r="K52" s="18"/>
    </row>
    <row r="53" spans="1:15" x14ac:dyDescent="0.25">
      <c r="F53" s="44" t="s">
        <v>31</v>
      </c>
      <c r="G53" s="44"/>
      <c r="H53" s="44"/>
      <c r="I53" s="44"/>
      <c r="J53" s="44"/>
    </row>
    <row r="54" spans="1:15" x14ac:dyDescent="0.25">
      <c r="B54" s="15" t="s">
        <v>10</v>
      </c>
      <c r="C54" s="15" t="s">
        <v>11</v>
      </c>
      <c r="D54" s="15" t="s">
        <v>12</v>
      </c>
      <c r="E54" s="15" t="s">
        <v>13</v>
      </c>
      <c r="F54" s="15" t="s">
        <v>14</v>
      </c>
      <c r="G54" s="15" t="s">
        <v>15</v>
      </c>
      <c r="H54" s="15" t="s">
        <v>16</v>
      </c>
      <c r="I54" s="15" t="s">
        <v>17</v>
      </c>
      <c r="J54" s="15" t="s">
        <v>18</v>
      </c>
      <c r="K54" s="15" t="s">
        <v>19</v>
      </c>
      <c r="L54" s="15" t="s">
        <v>20</v>
      </c>
      <c r="M54" s="15" t="s">
        <v>21</v>
      </c>
      <c r="N54" s="16" t="s">
        <v>22</v>
      </c>
    </row>
    <row r="55" spans="1:15" x14ac:dyDescent="0.25">
      <c r="A55" s="4" t="s">
        <v>23</v>
      </c>
      <c r="B55" s="19">
        <v>1</v>
      </c>
      <c r="C55" s="19">
        <v>1</v>
      </c>
      <c r="D55" s="19">
        <v>0</v>
      </c>
      <c r="E55" s="19">
        <v>0</v>
      </c>
      <c r="F55" s="19">
        <v>1</v>
      </c>
      <c r="G55" s="19">
        <v>0</v>
      </c>
      <c r="H55" s="19">
        <v>2</v>
      </c>
      <c r="I55" s="19">
        <v>1</v>
      </c>
      <c r="J55" s="19">
        <v>1</v>
      </c>
      <c r="K55" s="19">
        <v>1</v>
      </c>
      <c r="L55" s="19">
        <v>0</v>
      </c>
      <c r="M55" s="19">
        <v>0</v>
      </c>
      <c r="N55" s="20">
        <f>SUM(B55:M55)</f>
        <v>8</v>
      </c>
    </row>
    <row r="56" spans="1:15" x14ac:dyDescent="0.25">
      <c r="A56" s="4" t="s">
        <v>24</v>
      </c>
      <c r="B56" s="21">
        <v>0</v>
      </c>
      <c r="C56" s="34">
        <v>1</v>
      </c>
      <c r="D56" s="21">
        <v>0</v>
      </c>
      <c r="E56" s="21">
        <v>1</v>
      </c>
      <c r="F56" s="21">
        <v>1</v>
      </c>
      <c r="G56" s="21">
        <v>1</v>
      </c>
      <c r="H56" s="21">
        <v>0</v>
      </c>
      <c r="I56" s="21">
        <v>1</v>
      </c>
      <c r="J56" s="21">
        <v>0</v>
      </c>
      <c r="K56" s="21">
        <v>3</v>
      </c>
      <c r="L56" s="21">
        <v>0</v>
      </c>
      <c r="M56" s="21">
        <v>2</v>
      </c>
      <c r="N56" s="20">
        <f>SUM(B56:M56)</f>
        <v>10</v>
      </c>
    </row>
    <row r="57" spans="1:15" x14ac:dyDescent="0.25">
      <c r="A57" s="4" t="s">
        <v>25</v>
      </c>
      <c r="B57" s="19">
        <f>A58+B55-B56</f>
        <v>7</v>
      </c>
      <c r="C57" s="19">
        <f t="shared" ref="C57:M57" si="10">B57+C55-C56</f>
        <v>7</v>
      </c>
      <c r="D57" s="19">
        <f t="shared" si="10"/>
        <v>7</v>
      </c>
      <c r="E57" s="19">
        <f t="shared" si="10"/>
        <v>6</v>
      </c>
      <c r="F57" s="19">
        <f t="shared" si="10"/>
        <v>6</v>
      </c>
      <c r="G57" s="19">
        <f t="shared" si="10"/>
        <v>5</v>
      </c>
      <c r="H57" s="19">
        <f t="shared" si="10"/>
        <v>7</v>
      </c>
      <c r="I57" s="19">
        <f t="shared" si="10"/>
        <v>7</v>
      </c>
      <c r="J57" s="19">
        <f t="shared" si="10"/>
        <v>8</v>
      </c>
      <c r="K57" s="19">
        <f t="shared" si="10"/>
        <v>6</v>
      </c>
      <c r="L57" s="19">
        <f t="shared" si="10"/>
        <v>6</v>
      </c>
      <c r="M57" s="19">
        <f t="shared" si="10"/>
        <v>4</v>
      </c>
      <c r="N57" s="20">
        <f>A58+N55-N56</f>
        <v>4</v>
      </c>
    </row>
    <row r="58" spans="1:15" x14ac:dyDescent="0.25">
      <c r="A58" s="6">
        <v>6</v>
      </c>
    </row>
    <row r="59" spans="1:15" x14ac:dyDescent="0.25">
      <c r="A59" s="4" t="s">
        <v>26</v>
      </c>
      <c r="B59" s="22">
        <f t="shared" ref="B59:M59" si="11">B56*100/B57</f>
        <v>0</v>
      </c>
      <c r="C59" s="22">
        <f t="shared" si="11"/>
        <v>14.285714285714286</v>
      </c>
      <c r="D59" s="22">
        <f t="shared" si="11"/>
        <v>0</v>
      </c>
      <c r="E59" s="22">
        <f t="shared" si="11"/>
        <v>16.666666666666668</v>
      </c>
      <c r="F59" s="22">
        <f t="shared" si="11"/>
        <v>16.666666666666668</v>
      </c>
      <c r="G59" s="22">
        <f t="shared" si="11"/>
        <v>20</v>
      </c>
      <c r="H59" s="22">
        <f t="shared" si="11"/>
        <v>0</v>
      </c>
      <c r="I59" s="22">
        <f t="shared" si="11"/>
        <v>14.285714285714286</v>
      </c>
      <c r="J59" s="22">
        <f t="shared" si="11"/>
        <v>0</v>
      </c>
      <c r="K59" s="22">
        <f t="shared" si="11"/>
        <v>50</v>
      </c>
      <c r="L59" s="22">
        <f t="shared" si="11"/>
        <v>0</v>
      </c>
      <c r="M59" s="22">
        <f t="shared" si="11"/>
        <v>50</v>
      </c>
      <c r="N59" s="23">
        <v>15.16</v>
      </c>
      <c r="O59" s="24" t="s">
        <v>27</v>
      </c>
    </row>
    <row r="60" spans="1:15" x14ac:dyDescent="0.25">
      <c r="N60" s="25">
        <f>N56*100/N57</f>
        <v>250</v>
      </c>
      <c r="O60" s="24" t="s">
        <v>28</v>
      </c>
    </row>
    <row r="61" spans="1:15" x14ac:dyDescent="0.25">
      <c r="H61" s="18"/>
      <c r="I61" s="18"/>
      <c r="J61" s="18"/>
      <c r="K61" s="18"/>
    </row>
    <row r="62" spans="1:15" x14ac:dyDescent="0.25">
      <c r="F62" s="44" t="s">
        <v>5</v>
      </c>
      <c r="G62" s="44"/>
      <c r="H62" s="44"/>
      <c r="I62" s="44"/>
      <c r="J62" s="44"/>
    </row>
    <row r="63" spans="1:15" x14ac:dyDescent="0.25">
      <c r="B63" s="15" t="s">
        <v>10</v>
      </c>
      <c r="C63" s="15" t="s">
        <v>11</v>
      </c>
      <c r="D63" s="15" t="s">
        <v>12</v>
      </c>
      <c r="E63" s="15" t="s">
        <v>13</v>
      </c>
      <c r="F63" s="15" t="s">
        <v>14</v>
      </c>
      <c r="G63" s="15" t="s">
        <v>15</v>
      </c>
      <c r="H63" s="15" t="s">
        <v>16</v>
      </c>
      <c r="I63" s="15" t="s">
        <v>17</v>
      </c>
      <c r="J63" s="15" t="s">
        <v>18</v>
      </c>
      <c r="K63" s="15" t="s">
        <v>19</v>
      </c>
      <c r="L63" s="15" t="s">
        <v>20</v>
      </c>
      <c r="M63" s="15" t="s">
        <v>21</v>
      </c>
      <c r="N63" s="16" t="s">
        <v>22</v>
      </c>
    </row>
    <row r="64" spans="1:15" x14ac:dyDescent="0.25">
      <c r="A64" s="4" t="s">
        <v>23</v>
      </c>
      <c r="B64" s="19">
        <v>2</v>
      </c>
      <c r="C64" s="19">
        <v>1</v>
      </c>
      <c r="D64" s="19">
        <v>2</v>
      </c>
      <c r="E64" s="19">
        <v>1</v>
      </c>
      <c r="F64" s="19">
        <v>1</v>
      </c>
      <c r="G64" s="19">
        <v>1</v>
      </c>
      <c r="H64" s="19">
        <v>2</v>
      </c>
      <c r="I64" s="19">
        <v>0</v>
      </c>
      <c r="J64" s="19">
        <v>1</v>
      </c>
      <c r="K64" s="19">
        <v>2</v>
      </c>
      <c r="L64" s="19">
        <v>1</v>
      </c>
      <c r="M64" s="19">
        <v>0</v>
      </c>
      <c r="N64" s="20">
        <f>SUM(B64:M64)</f>
        <v>14</v>
      </c>
    </row>
    <row r="65" spans="1:15" x14ac:dyDescent="0.25">
      <c r="A65" s="4" t="s">
        <v>24</v>
      </c>
      <c r="B65" s="34">
        <v>1</v>
      </c>
      <c r="C65" s="34">
        <v>3</v>
      </c>
      <c r="D65" s="21">
        <v>0</v>
      </c>
      <c r="E65" s="21">
        <v>2</v>
      </c>
      <c r="F65" s="21">
        <v>1</v>
      </c>
      <c r="G65" s="21">
        <v>1</v>
      </c>
      <c r="H65" s="21">
        <v>1</v>
      </c>
      <c r="I65" s="21">
        <v>0</v>
      </c>
      <c r="J65" s="21">
        <v>1</v>
      </c>
      <c r="K65" s="21">
        <v>2</v>
      </c>
      <c r="L65" s="21">
        <v>1</v>
      </c>
      <c r="M65" s="21">
        <v>0</v>
      </c>
      <c r="N65" s="20">
        <f>SUM(B65:M65)</f>
        <v>13</v>
      </c>
    </row>
    <row r="66" spans="1:15" x14ac:dyDescent="0.25">
      <c r="A66" s="4" t="s">
        <v>25</v>
      </c>
      <c r="B66" s="19">
        <f>A67+B64-B65</f>
        <v>9</v>
      </c>
      <c r="C66" s="19">
        <f t="shared" ref="C66:M66" si="12">B66+C64-C65</f>
        <v>7</v>
      </c>
      <c r="D66" s="19">
        <f t="shared" si="12"/>
        <v>9</v>
      </c>
      <c r="E66" s="19">
        <f t="shared" si="12"/>
        <v>8</v>
      </c>
      <c r="F66" s="19">
        <f t="shared" si="12"/>
        <v>8</v>
      </c>
      <c r="G66" s="19">
        <f t="shared" si="12"/>
        <v>8</v>
      </c>
      <c r="H66" s="19">
        <f t="shared" si="12"/>
        <v>9</v>
      </c>
      <c r="I66" s="19">
        <f t="shared" si="12"/>
        <v>9</v>
      </c>
      <c r="J66" s="19">
        <f t="shared" si="12"/>
        <v>9</v>
      </c>
      <c r="K66" s="19">
        <f t="shared" si="12"/>
        <v>9</v>
      </c>
      <c r="L66" s="19">
        <f t="shared" si="12"/>
        <v>9</v>
      </c>
      <c r="M66" s="19">
        <f t="shared" si="12"/>
        <v>9</v>
      </c>
      <c r="N66" s="20">
        <f>A67+N64-N65</f>
        <v>9</v>
      </c>
    </row>
    <row r="67" spans="1:15" x14ac:dyDescent="0.25">
      <c r="A67" s="6">
        <v>8</v>
      </c>
    </row>
    <row r="68" spans="1:15" x14ac:dyDescent="0.25">
      <c r="A68" s="4" t="s">
        <v>26</v>
      </c>
      <c r="B68" s="22">
        <f t="shared" ref="B68:M68" si="13">B65*100/B66</f>
        <v>11.111111111111111</v>
      </c>
      <c r="C68" s="22">
        <f t="shared" si="13"/>
        <v>42.857142857142854</v>
      </c>
      <c r="D68" s="22">
        <f t="shared" si="13"/>
        <v>0</v>
      </c>
      <c r="E68" s="22">
        <f t="shared" si="13"/>
        <v>25</v>
      </c>
      <c r="F68" s="22">
        <f t="shared" si="13"/>
        <v>12.5</v>
      </c>
      <c r="G68" s="22">
        <f t="shared" si="13"/>
        <v>12.5</v>
      </c>
      <c r="H68" s="22">
        <f t="shared" si="13"/>
        <v>11.111111111111111</v>
      </c>
      <c r="I68" s="22">
        <f t="shared" si="13"/>
        <v>0</v>
      </c>
      <c r="J68" s="22">
        <f t="shared" si="13"/>
        <v>11.111111111111111</v>
      </c>
      <c r="K68" s="22">
        <f t="shared" si="13"/>
        <v>22.222222222222221</v>
      </c>
      <c r="L68" s="22">
        <f t="shared" si="13"/>
        <v>11.111111111111111</v>
      </c>
      <c r="M68" s="22">
        <f t="shared" si="13"/>
        <v>0</v>
      </c>
      <c r="N68" s="23">
        <v>13.29</v>
      </c>
      <c r="O68" s="24" t="s">
        <v>27</v>
      </c>
    </row>
    <row r="69" spans="1:15" x14ac:dyDescent="0.25">
      <c r="N69" s="25">
        <f>N65*100/N66</f>
        <v>144.44444444444446</v>
      </c>
      <c r="O69" s="24" t="s">
        <v>28</v>
      </c>
    </row>
    <row r="70" spans="1:15" x14ac:dyDescent="0.25">
      <c r="F70" s="44" t="s">
        <v>2</v>
      </c>
      <c r="G70" s="44"/>
      <c r="H70" s="44"/>
      <c r="I70" s="44"/>
      <c r="J70" s="44"/>
    </row>
    <row r="71" spans="1:15" x14ac:dyDescent="0.25">
      <c r="B71" s="15" t="s">
        <v>10</v>
      </c>
      <c r="C71" s="15" t="s">
        <v>11</v>
      </c>
      <c r="D71" s="15" t="s">
        <v>12</v>
      </c>
      <c r="E71" s="15" t="s">
        <v>13</v>
      </c>
      <c r="F71" s="15" t="s">
        <v>14</v>
      </c>
      <c r="G71" s="15" t="s">
        <v>15</v>
      </c>
      <c r="H71" s="15" t="s">
        <v>16</v>
      </c>
      <c r="I71" s="15" t="s">
        <v>17</v>
      </c>
      <c r="J71" s="15" t="s">
        <v>18</v>
      </c>
      <c r="K71" s="15" t="s">
        <v>19</v>
      </c>
      <c r="L71" s="15" t="s">
        <v>20</v>
      </c>
      <c r="M71" s="15" t="s">
        <v>21</v>
      </c>
      <c r="N71" s="16" t="s">
        <v>22</v>
      </c>
    </row>
    <row r="72" spans="1:15" x14ac:dyDescent="0.25">
      <c r="A72" s="4" t="s">
        <v>23</v>
      </c>
      <c r="B72" s="19">
        <v>0</v>
      </c>
      <c r="C72" s="19">
        <v>1</v>
      </c>
      <c r="D72" s="19">
        <v>0</v>
      </c>
      <c r="E72" s="19">
        <v>0</v>
      </c>
      <c r="F72" s="19">
        <v>0</v>
      </c>
      <c r="G72" s="19">
        <v>1</v>
      </c>
      <c r="H72" s="19">
        <v>1</v>
      </c>
      <c r="I72" s="19">
        <v>0</v>
      </c>
      <c r="J72" s="19">
        <v>2</v>
      </c>
      <c r="K72" s="19">
        <v>0</v>
      </c>
      <c r="L72" s="19">
        <v>0</v>
      </c>
      <c r="M72" s="19">
        <v>1</v>
      </c>
      <c r="N72" s="20">
        <f>SUM(B72:M72)</f>
        <v>6</v>
      </c>
    </row>
    <row r="73" spans="1:15" x14ac:dyDescent="0.25">
      <c r="A73" s="4" t="s">
        <v>24</v>
      </c>
      <c r="B73" s="34">
        <v>1</v>
      </c>
      <c r="C73" s="34">
        <v>0</v>
      </c>
      <c r="D73" s="21">
        <v>0</v>
      </c>
      <c r="E73" s="21">
        <v>0</v>
      </c>
      <c r="F73" s="21">
        <v>0</v>
      </c>
      <c r="G73" s="21">
        <v>0</v>
      </c>
      <c r="H73" s="21">
        <v>1</v>
      </c>
      <c r="I73" s="21">
        <v>1</v>
      </c>
      <c r="J73" s="21">
        <v>1</v>
      </c>
      <c r="K73" s="21">
        <v>0</v>
      </c>
      <c r="L73" s="21">
        <v>0</v>
      </c>
      <c r="M73" s="21">
        <v>0</v>
      </c>
      <c r="N73" s="20">
        <f>SUM(B73:M73)</f>
        <v>4</v>
      </c>
    </row>
    <row r="74" spans="1:15" x14ac:dyDescent="0.25">
      <c r="A74" s="4" t="s">
        <v>25</v>
      </c>
      <c r="B74" s="19">
        <f>A75+B72-B73</f>
        <v>19</v>
      </c>
      <c r="C74" s="19">
        <f t="shared" ref="C74:M74" si="14">B74+C72-C73</f>
        <v>20</v>
      </c>
      <c r="D74" s="19">
        <f t="shared" si="14"/>
        <v>20</v>
      </c>
      <c r="E74" s="19">
        <f t="shared" si="14"/>
        <v>20</v>
      </c>
      <c r="F74" s="19">
        <f t="shared" si="14"/>
        <v>20</v>
      </c>
      <c r="G74" s="19">
        <f t="shared" si="14"/>
        <v>21</v>
      </c>
      <c r="H74" s="19">
        <f t="shared" si="14"/>
        <v>21</v>
      </c>
      <c r="I74" s="19">
        <f t="shared" si="14"/>
        <v>20</v>
      </c>
      <c r="J74" s="19">
        <f t="shared" si="14"/>
        <v>21</v>
      </c>
      <c r="K74" s="19">
        <f t="shared" si="14"/>
        <v>21</v>
      </c>
      <c r="L74" s="19">
        <f t="shared" si="14"/>
        <v>21</v>
      </c>
      <c r="M74" s="19">
        <f t="shared" si="14"/>
        <v>22</v>
      </c>
      <c r="N74" s="20">
        <f>A75+N72-N73</f>
        <v>22</v>
      </c>
    </row>
    <row r="75" spans="1:15" x14ac:dyDescent="0.25">
      <c r="A75" s="6">
        <v>20</v>
      </c>
    </row>
    <row r="76" spans="1:15" x14ac:dyDescent="0.25">
      <c r="A76" s="4" t="s">
        <v>26</v>
      </c>
      <c r="B76" s="22">
        <f t="shared" ref="B76:M76" si="15">B73*100/B74</f>
        <v>5.2631578947368425</v>
      </c>
      <c r="C76" s="22">
        <f t="shared" si="15"/>
        <v>0</v>
      </c>
      <c r="D76" s="22">
        <f t="shared" si="15"/>
        <v>0</v>
      </c>
      <c r="E76" s="22">
        <f t="shared" si="15"/>
        <v>0</v>
      </c>
      <c r="F76" s="22">
        <f t="shared" si="15"/>
        <v>0</v>
      </c>
      <c r="G76" s="22">
        <f t="shared" si="15"/>
        <v>0</v>
      </c>
      <c r="H76" s="22">
        <f t="shared" si="15"/>
        <v>4.7619047619047619</v>
      </c>
      <c r="I76" s="22">
        <f t="shared" si="15"/>
        <v>5</v>
      </c>
      <c r="J76" s="22">
        <f t="shared" si="15"/>
        <v>4.7619047619047619</v>
      </c>
      <c r="K76" s="22">
        <f t="shared" si="15"/>
        <v>0</v>
      </c>
      <c r="L76" s="22">
        <f t="shared" si="15"/>
        <v>0</v>
      </c>
      <c r="M76" s="22">
        <f t="shared" si="15"/>
        <v>0</v>
      </c>
      <c r="N76" s="23">
        <v>1.65</v>
      </c>
      <c r="O76" s="24" t="s">
        <v>27</v>
      </c>
    </row>
    <row r="77" spans="1:15" x14ac:dyDescent="0.25">
      <c r="N77" s="25">
        <f>N73*100/N74</f>
        <v>18.181818181818183</v>
      </c>
      <c r="O77" s="24" t="s">
        <v>28</v>
      </c>
    </row>
    <row r="78" spans="1:15" x14ac:dyDescent="0.25">
      <c r="H78" s="18"/>
      <c r="I78" s="18"/>
      <c r="J78" s="18"/>
      <c r="K78" s="18"/>
    </row>
    <row r="79" spans="1:15" x14ac:dyDescent="0.25">
      <c r="F79" s="44" t="s">
        <v>8</v>
      </c>
      <c r="G79" s="44"/>
      <c r="H79" s="44"/>
      <c r="I79" s="44"/>
      <c r="J79" s="44"/>
    </row>
    <row r="80" spans="1:15" x14ac:dyDescent="0.25">
      <c r="B80" s="15" t="s">
        <v>10</v>
      </c>
      <c r="C80" s="15" t="s">
        <v>11</v>
      </c>
      <c r="D80" s="15" t="s">
        <v>12</v>
      </c>
      <c r="E80" s="15" t="s">
        <v>13</v>
      </c>
      <c r="F80" s="15" t="s">
        <v>14</v>
      </c>
      <c r="G80" s="15" t="s">
        <v>15</v>
      </c>
      <c r="H80" s="15" t="s">
        <v>16</v>
      </c>
      <c r="I80" s="15" t="s">
        <v>17</v>
      </c>
      <c r="J80" s="15" t="s">
        <v>18</v>
      </c>
      <c r="K80" s="15" t="s">
        <v>19</v>
      </c>
      <c r="L80" s="15" t="s">
        <v>20</v>
      </c>
      <c r="M80" s="15" t="s">
        <v>21</v>
      </c>
      <c r="N80" s="16" t="s">
        <v>22</v>
      </c>
    </row>
    <row r="81" spans="1:15" x14ac:dyDescent="0.25">
      <c r="A81" s="4" t="s">
        <v>23</v>
      </c>
      <c r="B81" s="19">
        <v>2</v>
      </c>
      <c r="C81" s="19">
        <v>2</v>
      </c>
      <c r="D81" s="19">
        <v>2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20">
        <f>SUM(B81:M81)</f>
        <v>6</v>
      </c>
    </row>
    <row r="82" spans="1:15" x14ac:dyDescent="0.25">
      <c r="A82" s="4" t="s">
        <v>24</v>
      </c>
      <c r="B82" s="34">
        <v>2</v>
      </c>
      <c r="C82" s="34">
        <v>1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0">
        <f>SUM(B82:M82)</f>
        <v>3</v>
      </c>
    </row>
    <row r="83" spans="1:15" x14ac:dyDescent="0.25">
      <c r="A83" s="4" t="s">
        <v>25</v>
      </c>
      <c r="B83" s="19">
        <f>A84+B81-B82</f>
        <v>9</v>
      </c>
      <c r="C83" s="19">
        <f t="shared" ref="C83:M83" si="16">B83+C81-C82</f>
        <v>10</v>
      </c>
      <c r="D83" s="19">
        <f t="shared" si="16"/>
        <v>12</v>
      </c>
      <c r="E83" s="19">
        <f t="shared" si="16"/>
        <v>12</v>
      </c>
      <c r="F83" s="19">
        <f t="shared" si="16"/>
        <v>12</v>
      </c>
      <c r="G83" s="19">
        <f t="shared" si="16"/>
        <v>12</v>
      </c>
      <c r="H83" s="19">
        <f t="shared" si="16"/>
        <v>12</v>
      </c>
      <c r="I83" s="19">
        <f t="shared" si="16"/>
        <v>12</v>
      </c>
      <c r="J83" s="19">
        <f t="shared" si="16"/>
        <v>12</v>
      </c>
      <c r="K83" s="19">
        <f t="shared" si="16"/>
        <v>12</v>
      </c>
      <c r="L83" s="19">
        <f t="shared" si="16"/>
        <v>12</v>
      </c>
      <c r="M83" s="19">
        <f t="shared" si="16"/>
        <v>12</v>
      </c>
      <c r="N83" s="20">
        <f>A84+N81-N82</f>
        <v>12</v>
      </c>
    </row>
    <row r="84" spans="1:15" x14ac:dyDescent="0.25">
      <c r="A84" s="6">
        <v>9</v>
      </c>
    </row>
    <row r="85" spans="1:15" x14ac:dyDescent="0.25">
      <c r="A85" s="4" t="s">
        <v>26</v>
      </c>
      <c r="B85" s="22">
        <f t="shared" ref="B85:M85" si="17">B82*100/B83</f>
        <v>22.222222222222221</v>
      </c>
      <c r="C85" s="22">
        <f t="shared" si="17"/>
        <v>10</v>
      </c>
      <c r="D85" s="22">
        <f t="shared" si="17"/>
        <v>0</v>
      </c>
      <c r="E85" s="22">
        <f t="shared" si="17"/>
        <v>0</v>
      </c>
      <c r="F85" s="22">
        <f t="shared" si="17"/>
        <v>0</v>
      </c>
      <c r="G85" s="22">
        <f t="shared" si="17"/>
        <v>0</v>
      </c>
      <c r="H85" s="22">
        <f t="shared" si="17"/>
        <v>0</v>
      </c>
      <c r="I85" s="22">
        <f t="shared" si="17"/>
        <v>0</v>
      </c>
      <c r="J85" s="22">
        <f t="shared" si="17"/>
        <v>0</v>
      </c>
      <c r="K85" s="22">
        <f t="shared" si="17"/>
        <v>0</v>
      </c>
      <c r="L85" s="22">
        <f t="shared" si="17"/>
        <v>0</v>
      </c>
      <c r="M85" s="22">
        <f t="shared" si="17"/>
        <v>0</v>
      </c>
      <c r="N85" s="23">
        <v>2.69</v>
      </c>
      <c r="O85" s="24" t="s">
        <v>27</v>
      </c>
    </row>
    <row r="86" spans="1:15" x14ac:dyDescent="0.25">
      <c r="N86" s="25">
        <f>N82*100/N83</f>
        <v>25</v>
      </c>
      <c r="O86" s="24" t="s">
        <v>28</v>
      </c>
    </row>
    <row r="87" spans="1:15" x14ac:dyDescent="0.25">
      <c r="H87" s="18"/>
      <c r="I87" s="18"/>
      <c r="J87" s="18"/>
      <c r="K87" s="18"/>
    </row>
    <row r="88" spans="1:15" x14ac:dyDescent="0.25">
      <c r="F88" s="44" t="s">
        <v>3</v>
      </c>
      <c r="G88" s="44"/>
      <c r="H88" s="44"/>
      <c r="I88" s="44"/>
      <c r="J88" s="44"/>
    </row>
    <row r="89" spans="1:15" x14ac:dyDescent="0.25">
      <c r="B89" s="15" t="s">
        <v>10</v>
      </c>
      <c r="C89" s="15" t="s">
        <v>11</v>
      </c>
      <c r="D89" s="15" t="s">
        <v>12</v>
      </c>
      <c r="E89" s="15" t="s">
        <v>13</v>
      </c>
      <c r="F89" s="15" t="s">
        <v>14</v>
      </c>
      <c r="G89" s="15" t="s">
        <v>15</v>
      </c>
      <c r="H89" s="15" t="s">
        <v>16</v>
      </c>
      <c r="I89" s="15" t="s">
        <v>17</v>
      </c>
      <c r="J89" s="15" t="s">
        <v>18</v>
      </c>
      <c r="K89" s="15" t="s">
        <v>19</v>
      </c>
      <c r="L89" s="15" t="s">
        <v>20</v>
      </c>
      <c r="M89" s="15" t="s">
        <v>21</v>
      </c>
      <c r="N89" s="16" t="s">
        <v>22</v>
      </c>
    </row>
    <row r="90" spans="1:15" x14ac:dyDescent="0.25">
      <c r="A90" s="4" t="s">
        <v>23</v>
      </c>
      <c r="B90" s="19">
        <v>1</v>
      </c>
      <c r="C90" s="19">
        <v>0</v>
      </c>
      <c r="D90" s="19">
        <v>0</v>
      </c>
      <c r="E90" s="19">
        <v>0</v>
      </c>
      <c r="F90" s="19">
        <v>1</v>
      </c>
      <c r="G90" s="19">
        <v>2</v>
      </c>
      <c r="H90" s="19">
        <v>0</v>
      </c>
      <c r="I90" s="19">
        <v>0</v>
      </c>
      <c r="J90" s="19">
        <v>3</v>
      </c>
      <c r="K90" s="19">
        <v>0</v>
      </c>
      <c r="L90" s="19">
        <v>0</v>
      </c>
      <c r="M90" s="19">
        <v>1</v>
      </c>
      <c r="N90" s="20">
        <f>SUM(B90:M90)</f>
        <v>8</v>
      </c>
    </row>
    <row r="91" spans="1:15" x14ac:dyDescent="0.25">
      <c r="A91" s="4" t="s">
        <v>24</v>
      </c>
      <c r="B91" s="21">
        <v>0</v>
      </c>
      <c r="C91" s="21">
        <v>0</v>
      </c>
      <c r="D91" s="21">
        <v>0</v>
      </c>
      <c r="E91" s="21">
        <v>1</v>
      </c>
      <c r="F91" s="21">
        <v>2</v>
      </c>
      <c r="G91" s="21">
        <v>2</v>
      </c>
      <c r="H91" s="21">
        <v>0</v>
      </c>
      <c r="I91" s="21">
        <v>1</v>
      </c>
      <c r="J91" s="21">
        <v>0</v>
      </c>
      <c r="K91" s="21">
        <v>1</v>
      </c>
      <c r="L91" s="21">
        <v>1</v>
      </c>
      <c r="M91" s="21">
        <v>0</v>
      </c>
      <c r="N91" s="20">
        <f>SUM(B91:M91)</f>
        <v>8</v>
      </c>
    </row>
    <row r="92" spans="1:15" x14ac:dyDescent="0.25">
      <c r="A92" s="4" t="s">
        <v>25</v>
      </c>
      <c r="B92" s="19">
        <f>A93+B90-B91</f>
        <v>4</v>
      </c>
      <c r="C92" s="19">
        <f t="shared" ref="C92:M92" si="18">B92+C90-C91</f>
        <v>4</v>
      </c>
      <c r="D92" s="19">
        <f t="shared" si="18"/>
        <v>4</v>
      </c>
      <c r="E92" s="19">
        <f t="shared" si="18"/>
        <v>3</v>
      </c>
      <c r="F92" s="19">
        <f t="shared" si="18"/>
        <v>2</v>
      </c>
      <c r="G92" s="19">
        <f t="shared" si="18"/>
        <v>2</v>
      </c>
      <c r="H92" s="19">
        <f t="shared" si="18"/>
        <v>2</v>
      </c>
      <c r="I92" s="19">
        <f t="shared" si="18"/>
        <v>1</v>
      </c>
      <c r="J92" s="19">
        <f t="shared" si="18"/>
        <v>4</v>
      </c>
      <c r="K92" s="19">
        <f t="shared" si="18"/>
        <v>3</v>
      </c>
      <c r="L92" s="19">
        <f t="shared" si="18"/>
        <v>2</v>
      </c>
      <c r="M92" s="19">
        <f t="shared" si="18"/>
        <v>3</v>
      </c>
      <c r="N92" s="20">
        <f>A93+N90-N91</f>
        <v>3</v>
      </c>
    </row>
    <row r="93" spans="1:15" x14ac:dyDescent="0.25">
      <c r="A93" s="6">
        <v>3</v>
      </c>
    </row>
    <row r="94" spans="1:15" x14ac:dyDescent="0.25">
      <c r="A94" s="4" t="s">
        <v>26</v>
      </c>
      <c r="B94" s="22">
        <f t="shared" ref="B94:M94" si="19">B91*100/B92</f>
        <v>0</v>
      </c>
      <c r="C94" s="22">
        <f t="shared" si="19"/>
        <v>0</v>
      </c>
      <c r="D94" s="22">
        <f t="shared" si="19"/>
        <v>0</v>
      </c>
      <c r="E94" s="22">
        <f t="shared" si="19"/>
        <v>33.333333333333336</v>
      </c>
      <c r="F94" s="22">
        <f t="shared" si="19"/>
        <v>100</v>
      </c>
      <c r="G94" s="22">
        <f t="shared" si="19"/>
        <v>100</v>
      </c>
      <c r="H94" s="22">
        <f t="shared" si="19"/>
        <v>0</v>
      </c>
      <c r="I94" s="22">
        <f t="shared" si="19"/>
        <v>100</v>
      </c>
      <c r="J94" s="22">
        <f t="shared" si="19"/>
        <v>0</v>
      </c>
      <c r="K94" s="22">
        <f t="shared" si="19"/>
        <v>33.333333333333336</v>
      </c>
      <c r="L94" s="22">
        <f t="shared" si="19"/>
        <v>50</v>
      </c>
      <c r="M94" s="22">
        <f t="shared" si="19"/>
        <v>0</v>
      </c>
      <c r="N94" s="23">
        <v>34.72</v>
      </c>
      <c r="O94" s="24" t="s">
        <v>27</v>
      </c>
    </row>
    <row r="95" spans="1:15" x14ac:dyDescent="0.25">
      <c r="N95" s="25">
        <f>N91*100/N92</f>
        <v>266.66666666666669</v>
      </c>
      <c r="O95" s="24" t="s">
        <v>28</v>
      </c>
    </row>
    <row r="96" spans="1:15" x14ac:dyDescent="0.25">
      <c r="N96" s="26"/>
      <c r="O96" s="24"/>
    </row>
    <row r="97" spans="1:15" x14ac:dyDescent="0.25">
      <c r="H97" s="18"/>
      <c r="I97" s="18"/>
      <c r="J97" s="18"/>
      <c r="K97" s="18"/>
    </row>
    <row r="98" spans="1:15" x14ac:dyDescent="0.25">
      <c r="F98" s="44" t="s">
        <v>34</v>
      </c>
      <c r="G98" s="44"/>
      <c r="H98" s="44"/>
      <c r="I98" s="44"/>
      <c r="J98" s="44"/>
    </row>
    <row r="99" spans="1:15" x14ac:dyDescent="0.25">
      <c r="B99" s="15" t="s">
        <v>10</v>
      </c>
      <c r="C99" s="15" t="s">
        <v>11</v>
      </c>
      <c r="D99" s="15" t="s">
        <v>12</v>
      </c>
      <c r="E99" s="15" t="s">
        <v>13</v>
      </c>
      <c r="F99" s="15" t="s">
        <v>14</v>
      </c>
      <c r="G99" s="15" t="s">
        <v>15</v>
      </c>
      <c r="H99" s="15" t="s">
        <v>16</v>
      </c>
      <c r="I99" s="15" t="s">
        <v>17</v>
      </c>
      <c r="J99" s="15" t="s">
        <v>18</v>
      </c>
      <c r="K99" s="15" t="s">
        <v>19</v>
      </c>
      <c r="L99" s="15" t="s">
        <v>20</v>
      </c>
      <c r="M99" s="15" t="s">
        <v>21</v>
      </c>
      <c r="N99" s="16" t="s">
        <v>22</v>
      </c>
    </row>
    <row r="100" spans="1:15" x14ac:dyDescent="0.25">
      <c r="A100" s="4" t="s">
        <v>23</v>
      </c>
      <c r="B100" s="19">
        <v>2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1</v>
      </c>
      <c r="I100" s="19">
        <v>1</v>
      </c>
      <c r="J100" s="19">
        <v>0</v>
      </c>
      <c r="K100" s="19">
        <v>1</v>
      </c>
      <c r="L100" s="19">
        <v>0</v>
      </c>
      <c r="M100" s="19">
        <v>0</v>
      </c>
      <c r="N100" s="20">
        <f>SUM(B100:M100)</f>
        <v>5</v>
      </c>
    </row>
    <row r="101" spans="1:15" x14ac:dyDescent="0.25">
      <c r="A101" s="4" t="s">
        <v>24</v>
      </c>
      <c r="B101" s="34">
        <v>1</v>
      </c>
      <c r="C101" s="34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1</v>
      </c>
      <c r="L101" s="21">
        <v>0</v>
      </c>
      <c r="M101" s="21">
        <v>0</v>
      </c>
      <c r="N101" s="20">
        <f>SUM(B101:M101)</f>
        <v>2</v>
      </c>
    </row>
    <row r="102" spans="1:15" x14ac:dyDescent="0.25">
      <c r="A102" s="4" t="s">
        <v>25</v>
      </c>
      <c r="B102" s="19">
        <f>A103+B100-B101</f>
        <v>7</v>
      </c>
      <c r="C102" s="19">
        <f t="shared" ref="C102:M102" si="20">B102+C100-C101</f>
        <v>7</v>
      </c>
      <c r="D102" s="19">
        <f t="shared" si="20"/>
        <v>7</v>
      </c>
      <c r="E102" s="19">
        <f t="shared" si="20"/>
        <v>7</v>
      </c>
      <c r="F102" s="19">
        <f t="shared" si="20"/>
        <v>7</v>
      </c>
      <c r="G102" s="19">
        <f t="shared" si="20"/>
        <v>7</v>
      </c>
      <c r="H102" s="19">
        <f t="shared" si="20"/>
        <v>8</v>
      </c>
      <c r="I102" s="19">
        <f t="shared" si="20"/>
        <v>9</v>
      </c>
      <c r="J102" s="19">
        <f t="shared" si="20"/>
        <v>9</v>
      </c>
      <c r="K102" s="19">
        <f t="shared" si="20"/>
        <v>9</v>
      </c>
      <c r="L102" s="19">
        <f t="shared" si="20"/>
        <v>9</v>
      </c>
      <c r="M102" s="19">
        <f t="shared" si="20"/>
        <v>9</v>
      </c>
      <c r="N102" s="20">
        <f>A103+N100-N101</f>
        <v>9</v>
      </c>
    </row>
    <row r="103" spans="1:15" x14ac:dyDescent="0.25">
      <c r="A103" s="6">
        <v>6</v>
      </c>
    </row>
    <row r="104" spans="1:15" x14ac:dyDescent="0.25">
      <c r="A104" s="4" t="s">
        <v>26</v>
      </c>
      <c r="B104" s="22">
        <f t="shared" ref="B104:M104" si="21">B101*100/B102</f>
        <v>14.285714285714286</v>
      </c>
      <c r="C104" s="22">
        <f t="shared" si="21"/>
        <v>0</v>
      </c>
      <c r="D104" s="22">
        <f t="shared" si="21"/>
        <v>0</v>
      </c>
      <c r="E104" s="22">
        <f t="shared" si="21"/>
        <v>0</v>
      </c>
      <c r="F104" s="22">
        <f t="shared" si="21"/>
        <v>0</v>
      </c>
      <c r="G104" s="22">
        <f t="shared" si="21"/>
        <v>0</v>
      </c>
      <c r="H104" s="22">
        <f t="shared" si="21"/>
        <v>0</v>
      </c>
      <c r="I104" s="22">
        <f t="shared" si="21"/>
        <v>0</v>
      </c>
      <c r="J104" s="22">
        <f t="shared" si="21"/>
        <v>0</v>
      </c>
      <c r="K104" s="22">
        <f t="shared" si="21"/>
        <v>11.111111111111111</v>
      </c>
      <c r="L104" s="22">
        <f t="shared" si="21"/>
        <v>0</v>
      </c>
      <c r="M104" s="22">
        <f t="shared" si="21"/>
        <v>0</v>
      </c>
      <c r="N104" s="23">
        <v>2.12</v>
      </c>
      <c r="O104" s="24" t="s">
        <v>27</v>
      </c>
    </row>
    <row r="105" spans="1:15" x14ac:dyDescent="0.25">
      <c r="N105" s="25">
        <f>N101*100/N102</f>
        <v>22.222222222222221</v>
      </c>
      <c r="O105" s="24" t="s">
        <v>28</v>
      </c>
    </row>
    <row r="106" spans="1:15" x14ac:dyDescent="0.25">
      <c r="N106" s="26"/>
      <c r="O106" s="24"/>
    </row>
    <row r="107" spans="1:15" x14ac:dyDescent="0.25">
      <c r="N107" s="26"/>
      <c r="O107" s="24"/>
    </row>
    <row r="108" spans="1:15" x14ac:dyDescent="0.25">
      <c r="N108" s="26"/>
      <c r="O108" s="24"/>
    </row>
    <row r="109" spans="1:15" x14ac:dyDescent="0.25">
      <c r="F109" s="44" t="s">
        <v>35</v>
      </c>
      <c r="G109" s="44"/>
      <c r="H109" s="44"/>
      <c r="I109" s="44"/>
      <c r="J109" s="44"/>
    </row>
    <row r="110" spans="1:15" x14ac:dyDescent="0.25">
      <c r="B110" s="15" t="s">
        <v>10</v>
      </c>
      <c r="C110" s="15" t="s">
        <v>11</v>
      </c>
      <c r="D110" s="15" t="s">
        <v>12</v>
      </c>
      <c r="E110" s="15" t="s">
        <v>13</v>
      </c>
      <c r="F110" s="15" t="s">
        <v>14</v>
      </c>
      <c r="G110" s="15" t="s">
        <v>15</v>
      </c>
      <c r="H110" s="15" t="s">
        <v>16</v>
      </c>
      <c r="I110" s="15" t="s">
        <v>17</v>
      </c>
      <c r="J110" s="15" t="s">
        <v>18</v>
      </c>
      <c r="K110" s="15" t="s">
        <v>19</v>
      </c>
      <c r="L110" s="15" t="s">
        <v>20</v>
      </c>
      <c r="M110" s="15" t="s">
        <v>21</v>
      </c>
      <c r="N110" s="16" t="s">
        <v>22</v>
      </c>
    </row>
    <row r="111" spans="1:15" x14ac:dyDescent="0.25">
      <c r="A111" s="4" t="s">
        <v>23</v>
      </c>
      <c r="B111" s="19">
        <v>3</v>
      </c>
      <c r="C111" s="19">
        <v>0</v>
      </c>
      <c r="D111" s="19">
        <v>1</v>
      </c>
      <c r="E111" s="19">
        <v>1</v>
      </c>
      <c r="F111" s="19">
        <v>2</v>
      </c>
      <c r="G111" s="19">
        <v>0</v>
      </c>
      <c r="H111" s="19">
        <v>2</v>
      </c>
      <c r="I111" s="19">
        <v>2</v>
      </c>
      <c r="J111" s="19">
        <v>0</v>
      </c>
      <c r="K111" s="19">
        <v>0</v>
      </c>
      <c r="L111" s="19">
        <v>0</v>
      </c>
      <c r="M111" s="19">
        <v>0</v>
      </c>
      <c r="N111" s="20">
        <f>SUM(B111:M111)</f>
        <v>11</v>
      </c>
    </row>
    <row r="112" spans="1:15" x14ac:dyDescent="0.25">
      <c r="A112" s="4" t="s">
        <v>24</v>
      </c>
      <c r="B112" s="34">
        <v>1</v>
      </c>
      <c r="C112" s="34">
        <v>0</v>
      </c>
      <c r="D112" s="21">
        <v>0</v>
      </c>
      <c r="E112" s="21">
        <v>0</v>
      </c>
      <c r="F112" s="21">
        <v>2</v>
      </c>
      <c r="G112" s="21">
        <v>2</v>
      </c>
      <c r="H112" s="21">
        <v>1</v>
      </c>
      <c r="I112" s="21">
        <v>2</v>
      </c>
      <c r="J112" s="21">
        <v>0</v>
      </c>
      <c r="K112" s="21">
        <v>0</v>
      </c>
      <c r="L112" s="21">
        <v>0</v>
      </c>
      <c r="M112" s="21">
        <v>0</v>
      </c>
      <c r="N112" s="20">
        <f>SUM(B112:M112)</f>
        <v>8</v>
      </c>
    </row>
    <row r="113" spans="1:15" x14ac:dyDescent="0.25">
      <c r="A113" s="4" t="s">
        <v>25</v>
      </c>
      <c r="B113" s="19">
        <f>A114+B111-B112</f>
        <v>11</v>
      </c>
      <c r="C113" s="19">
        <f t="shared" ref="C113:M113" si="22">B113+C111-C112</f>
        <v>11</v>
      </c>
      <c r="D113" s="19">
        <f t="shared" si="22"/>
        <v>12</v>
      </c>
      <c r="E113" s="19">
        <f t="shared" si="22"/>
        <v>13</v>
      </c>
      <c r="F113" s="19">
        <f t="shared" si="22"/>
        <v>13</v>
      </c>
      <c r="G113" s="19">
        <f t="shared" si="22"/>
        <v>11</v>
      </c>
      <c r="H113" s="19">
        <f t="shared" si="22"/>
        <v>12</v>
      </c>
      <c r="I113" s="19">
        <f t="shared" si="22"/>
        <v>12</v>
      </c>
      <c r="J113" s="19">
        <f t="shared" si="22"/>
        <v>12</v>
      </c>
      <c r="K113" s="19">
        <f t="shared" si="22"/>
        <v>12</v>
      </c>
      <c r="L113" s="19">
        <f t="shared" si="22"/>
        <v>12</v>
      </c>
      <c r="M113" s="19">
        <f t="shared" si="22"/>
        <v>12</v>
      </c>
      <c r="N113" s="20">
        <f>A114+N111-N112</f>
        <v>12</v>
      </c>
    </row>
    <row r="114" spans="1:15" x14ac:dyDescent="0.25">
      <c r="A114" s="6">
        <v>9</v>
      </c>
    </row>
    <row r="115" spans="1:15" x14ac:dyDescent="0.25">
      <c r="A115" s="4" t="s">
        <v>26</v>
      </c>
      <c r="B115" s="22">
        <f t="shared" ref="B115:M115" si="23">B112*100/B113</f>
        <v>9.0909090909090917</v>
      </c>
      <c r="C115" s="22">
        <f t="shared" si="23"/>
        <v>0</v>
      </c>
      <c r="D115" s="22">
        <f t="shared" si="23"/>
        <v>0</v>
      </c>
      <c r="E115" s="22">
        <f t="shared" si="23"/>
        <v>0</v>
      </c>
      <c r="F115" s="22">
        <f t="shared" si="23"/>
        <v>15.384615384615385</v>
      </c>
      <c r="G115" s="22">
        <f t="shared" si="23"/>
        <v>18.181818181818183</v>
      </c>
      <c r="H115" s="22">
        <f t="shared" si="23"/>
        <v>8.3333333333333339</v>
      </c>
      <c r="I115" s="22">
        <f t="shared" si="23"/>
        <v>16.666666666666668</v>
      </c>
      <c r="J115" s="22">
        <f t="shared" si="23"/>
        <v>0</v>
      </c>
      <c r="K115" s="22">
        <f t="shared" si="23"/>
        <v>0</v>
      </c>
      <c r="L115" s="22">
        <f t="shared" si="23"/>
        <v>0</v>
      </c>
      <c r="M115" s="22">
        <f t="shared" si="23"/>
        <v>0</v>
      </c>
      <c r="N115" s="23">
        <v>5.64</v>
      </c>
      <c r="O115" s="24" t="s">
        <v>27</v>
      </c>
    </row>
    <row r="116" spans="1:15" x14ac:dyDescent="0.25">
      <c r="N116" s="25">
        <f>N112*100/N113</f>
        <v>66.666666666666671</v>
      </c>
      <c r="O116" s="24" t="s">
        <v>28</v>
      </c>
    </row>
    <row r="118" spans="1:15" x14ac:dyDescent="0.25">
      <c r="H118" s="18"/>
      <c r="I118" s="18"/>
      <c r="J118" s="18"/>
      <c r="K118" s="18"/>
    </row>
    <row r="119" spans="1:15" x14ac:dyDescent="0.25">
      <c r="F119" s="44" t="s">
        <v>32</v>
      </c>
      <c r="G119" s="44"/>
      <c r="H119" s="44"/>
      <c r="I119" s="44"/>
      <c r="J119" s="44"/>
    </row>
    <row r="120" spans="1:15" x14ac:dyDescent="0.25">
      <c r="B120" s="15" t="s">
        <v>10</v>
      </c>
      <c r="C120" s="15" t="s">
        <v>11</v>
      </c>
      <c r="D120" s="15" t="s">
        <v>12</v>
      </c>
      <c r="E120" s="15" t="s">
        <v>13</v>
      </c>
      <c r="F120" s="15" t="s">
        <v>14</v>
      </c>
      <c r="G120" s="15" t="s">
        <v>15</v>
      </c>
      <c r="H120" s="15" t="s">
        <v>16</v>
      </c>
      <c r="I120" s="15" t="s">
        <v>17</v>
      </c>
      <c r="J120" s="15" t="s">
        <v>18</v>
      </c>
      <c r="K120" s="15" t="s">
        <v>19</v>
      </c>
      <c r="L120" s="15" t="s">
        <v>20</v>
      </c>
      <c r="M120" s="15" t="s">
        <v>21</v>
      </c>
      <c r="N120" s="16" t="s">
        <v>22</v>
      </c>
    </row>
    <row r="121" spans="1:15" x14ac:dyDescent="0.25">
      <c r="A121" s="4" t="s">
        <v>23</v>
      </c>
      <c r="B121" s="19">
        <v>3</v>
      </c>
      <c r="C121" s="19">
        <v>0</v>
      </c>
      <c r="D121" s="19">
        <v>1</v>
      </c>
      <c r="E121" s="19">
        <v>2</v>
      </c>
      <c r="F121" s="19">
        <v>0</v>
      </c>
      <c r="G121" s="19">
        <v>1</v>
      </c>
      <c r="H121" s="19">
        <v>3</v>
      </c>
      <c r="I121" s="19">
        <v>0</v>
      </c>
      <c r="J121" s="19">
        <v>0</v>
      </c>
      <c r="K121" s="19">
        <v>1</v>
      </c>
      <c r="L121" s="19">
        <v>1</v>
      </c>
      <c r="M121" s="19">
        <v>0</v>
      </c>
      <c r="N121" s="20">
        <f>SUM(B121:M121)</f>
        <v>12</v>
      </c>
    </row>
    <row r="122" spans="1:15" x14ac:dyDescent="0.25">
      <c r="A122" s="4" t="s">
        <v>24</v>
      </c>
      <c r="B122" s="34">
        <v>1</v>
      </c>
      <c r="C122" s="34">
        <v>1</v>
      </c>
      <c r="D122" s="21">
        <v>1</v>
      </c>
      <c r="E122" s="21">
        <v>2</v>
      </c>
      <c r="F122" s="21">
        <v>0</v>
      </c>
      <c r="G122" s="21">
        <v>2</v>
      </c>
      <c r="H122" s="21">
        <v>1</v>
      </c>
      <c r="I122" s="21">
        <v>1</v>
      </c>
      <c r="J122" s="21">
        <v>2</v>
      </c>
      <c r="K122" s="21">
        <v>0</v>
      </c>
      <c r="L122" s="21">
        <v>0</v>
      </c>
      <c r="M122" s="21">
        <v>0</v>
      </c>
      <c r="N122" s="20">
        <f>SUM(B122:M122)</f>
        <v>11</v>
      </c>
    </row>
    <row r="123" spans="1:15" x14ac:dyDescent="0.25">
      <c r="A123" s="4" t="s">
        <v>25</v>
      </c>
      <c r="B123" s="19">
        <f>A124+B121-B122</f>
        <v>13</v>
      </c>
      <c r="C123" s="19">
        <f t="shared" ref="C123:M123" si="24">B123+C121-C122</f>
        <v>12</v>
      </c>
      <c r="D123" s="19">
        <f t="shared" si="24"/>
        <v>12</v>
      </c>
      <c r="E123" s="19">
        <f t="shared" si="24"/>
        <v>12</v>
      </c>
      <c r="F123" s="19">
        <f t="shared" si="24"/>
        <v>12</v>
      </c>
      <c r="G123" s="19">
        <f t="shared" si="24"/>
        <v>11</v>
      </c>
      <c r="H123" s="19">
        <f t="shared" si="24"/>
        <v>13</v>
      </c>
      <c r="I123" s="19">
        <f t="shared" si="24"/>
        <v>12</v>
      </c>
      <c r="J123" s="19">
        <f t="shared" si="24"/>
        <v>10</v>
      </c>
      <c r="K123" s="19">
        <f t="shared" si="24"/>
        <v>11</v>
      </c>
      <c r="L123" s="19">
        <f t="shared" si="24"/>
        <v>12</v>
      </c>
      <c r="M123" s="19">
        <f t="shared" si="24"/>
        <v>12</v>
      </c>
      <c r="N123" s="20">
        <f>A124+N121-N122</f>
        <v>12</v>
      </c>
    </row>
    <row r="124" spans="1:15" x14ac:dyDescent="0.25">
      <c r="A124" s="6">
        <v>11</v>
      </c>
    </row>
    <row r="125" spans="1:15" x14ac:dyDescent="0.25">
      <c r="A125" s="4" t="s">
        <v>26</v>
      </c>
      <c r="B125" s="22">
        <f t="shared" ref="B125:M125" si="25">B122*100/B123</f>
        <v>7.6923076923076925</v>
      </c>
      <c r="C125" s="22">
        <f t="shared" si="25"/>
        <v>8.3333333333333339</v>
      </c>
      <c r="D125" s="22">
        <f t="shared" si="25"/>
        <v>8.3333333333333339</v>
      </c>
      <c r="E125" s="22">
        <f t="shared" si="25"/>
        <v>16.666666666666668</v>
      </c>
      <c r="F125" s="22">
        <f t="shared" si="25"/>
        <v>0</v>
      </c>
      <c r="G125" s="22">
        <f t="shared" si="25"/>
        <v>18.181818181818183</v>
      </c>
      <c r="H125" s="22">
        <f t="shared" si="25"/>
        <v>7.6923076923076925</v>
      </c>
      <c r="I125" s="22">
        <f t="shared" si="25"/>
        <v>8.3333333333333339</v>
      </c>
      <c r="J125" s="22">
        <f t="shared" si="25"/>
        <v>20</v>
      </c>
      <c r="K125" s="22">
        <f t="shared" si="25"/>
        <v>0</v>
      </c>
      <c r="L125" s="22">
        <f t="shared" si="25"/>
        <v>0</v>
      </c>
      <c r="M125" s="22">
        <f t="shared" si="25"/>
        <v>0</v>
      </c>
      <c r="N125" s="23">
        <v>7.94</v>
      </c>
      <c r="O125" s="24" t="s">
        <v>27</v>
      </c>
    </row>
    <row r="126" spans="1:15" x14ac:dyDescent="0.25">
      <c r="N126" s="25">
        <f>N122*100/N123</f>
        <v>91.666666666666671</v>
      </c>
      <c r="O126" s="24" t="s">
        <v>28</v>
      </c>
    </row>
    <row r="129" spans="1:15" x14ac:dyDescent="0.25">
      <c r="H129" s="18"/>
      <c r="I129" s="18"/>
      <c r="J129" s="18"/>
      <c r="K129" s="18"/>
    </row>
    <row r="130" spans="1:15" x14ac:dyDescent="0.25">
      <c r="F130" s="44" t="s">
        <v>6</v>
      </c>
      <c r="G130" s="44"/>
      <c r="H130" s="44"/>
      <c r="I130" s="44"/>
      <c r="J130" s="44"/>
    </row>
    <row r="131" spans="1:15" x14ac:dyDescent="0.25">
      <c r="B131" s="15" t="s">
        <v>10</v>
      </c>
      <c r="C131" s="15" t="s">
        <v>11</v>
      </c>
      <c r="D131" s="15" t="s">
        <v>12</v>
      </c>
      <c r="E131" s="15" t="s">
        <v>13</v>
      </c>
      <c r="F131" s="15" t="s">
        <v>14</v>
      </c>
      <c r="G131" s="15" t="s">
        <v>15</v>
      </c>
      <c r="H131" s="15" t="s">
        <v>16</v>
      </c>
      <c r="I131" s="15" t="s">
        <v>17</v>
      </c>
      <c r="J131" s="15" t="s">
        <v>18</v>
      </c>
      <c r="K131" s="15" t="s">
        <v>19</v>
      </c>
      <c r="L131" s="15" t="s">
        <v>20</v>
      </c>
      <c r="M131" s="15" t="s">
        <v>21</v>
      </c>
      <c r="N131" s="16" t="s">
        <v>22</v>
      </c>
    </row>
    <row r="132" spans="1:15" x14ac:dyDescent="0.25">
      <c r="A132" s="4" t="s">
        <v>23</v>
      </c>
      <c r="B132" s="19">
        <v>2</v>
      </c>
      <c r="C132" s="19">
        <v>5</v>
      </c>
      <c r="D132" s="19">
        <v>1</v>
      </c>
      <c r="E132" s="19">
        <v>1</v>
      </c>
      <c r="F132" s="19">
        <v>0</v>
      </c>
      <c r="G132" s="19">
        <v>1</v>
      </c>
      <c r="H132" s="19">
        <v>4</v>
      </c>
      <c r="I132" s="19">
        <v>0</v>
      </c>
      <c r="J132" s="19">
        <v>2</v>
      </c>
      <c r="K132" s="19">
        <v>0</v>
      </c>
      <c r="L132" s="19">
        <v>3</v>
      </c>
      <c r="M132" s="19">
        <v>2</v>
      </c>
      <c r="N132" s="20">
        <f>SUM(B132:M132)</f>
        <v>21</v>
      </c>
    </row>
    <row r="133" spans="1:15" x14ac:dyDescent="0.25">
      <c r="A133" s="4" t="s">
        <v>24</v>
      </c>
      <c r="B133" s="34">
        <v>1</v>
      </c>
      <c r="C133" s="34">
        <v>0</v>
      </c>
      <c r="D133" s="21">
        <v>2</v>
      </c>
      <c r="E133" s="21">
        <v>0</v>
      </c>
      <c r="F133" s="21">
        <v>2</v>
      </c>
      <c r="G133" s="21">
        <v>3</v>
      </c>
      <c r="H133" s="21">
        <v>3</v>
      </c>
      <c r="I133" s="21">
        <v>0</v>
      </c>
      <c r="J133" s="21">
        <v>1</v>
      </c>
      <c r="K133" s="21">
        <v>3</v>
      </c>
      <c r="L133" s="21">
        <v>1</v>
      </c>
      <c r="M133" s="21">
        <v>1</v>
      </c>
      <c r="N133" s="20">
        <f>SUM(B133:M133)</f>
        <v>17</v>
      </c>
    </row>
    <row r="134" spans="1:15" x14ac:dyDescent="0.25">
      <c r="A134" s="4" t="s">
        <v>25</v>
      </c>
      <c r="B134" s="19">
        <f>A135+B132-B133</f>
        <v>8</v>
      </c>
      <c r="C134" s="27">
        <f t="shared" ref="C134:M134" si="26">B134+C132-C133</f>
        <v>13</v>
      </c>
      <c r="D134" s="27">
        <f t="shared" si="26"/>
        <v>12</v>
      </c>
      <c r="E134" s="27">
        <f t="shared" si="26"/>
        <v>13</v>
      </c>
      <c r="F134" s="27">
        <f t="shared" si="26"/>
        <v>11</v>
      </c>
      <c r="G134" s="27">
        <f t="shared" si="26"/>
        <v>9</v>
      </c>
      <c r="H134" s="27">
        <f t="shared" si="26"/>
        <v>10</v>
      </c>
      <c r="I134" s="27">
        <f t="shared" si="26"/>
        <v>10</v>
      </c>
      <c r="J134" s="27">
        <f t="shared" si="26"/>
        <v>11</v>
      </c>
      <c r="K134" s="27">
        <f t="shared" si="26"/>
        <v>8</v>
      </c>
      <c r="L134" s="27">
        <f t="shared" si="26"/>
        <v>10</v>
      </c>
      <c r="M134" s="27">
        <f t="shared" si="26"/>
        <v>11</v>
      </c>
      <c r="N134" s="20">
        <f>A135+N132-N133</f>
        <v>11</v>
      </c>
    </row>
    <row r="135" spans="1:15" x14ac:dyDescent="0.25">
      <c r="A135" s="6">
        <v>7</v>
      </c>
    </row>
    <row r="136" spans="1:15" x14ac:dyDescent="0.25">
      <c r="A136" s="4" t="s">
        <v>26</v>
      </c>
      <c r="B136" s="22">
        <f t="shared" ref="B136:M136" si="27">B133*100/B134</f>
        <v>12.5</v>
      </c>
      <c r="C136" s="22">
        <f t="shared" si="27"/>
        <v>0</v>
      </c>
      <c r="D136" s="22">
        <f t="shared" si="27"/>
        <v>16.666666666666668</v>
      </c>
      <c r="E136" s="22">
        <f t="shared" si="27"/>
        <v>0</v>
      </c>
      <c r="F136" s="22">
        <f t="shared" si="27"/>
        <v>18.181818181818183</v>
      </c>
      <c r="G136" s="22">
        <f t="shared" si="27"/>
        <v>33.333333333333336</v>
      </c>
      <c r="H136" s="22">
        <f t="shared" si="27"/>
        <v>30</v>
      </c>
      <c r="I136" s="22">
        <f t="shared" si="27"/>
        <v>0</v>
      </c>
      <c r="J136" s="22">
        <f t="shared" si="27"/>
        <v>9.0909090909090917</v>
      </c>
      <c r="K136" s="22">
        <f t="shared" si="27"/>
        <v>37.5</v>
      </c>
      <c r="L136" s="22">
        <f t="shared" si="27"/>
        <v>10</v>
      </c>
      <c r="M136" s="22">
        <f t="shared" si="27"/>
        <v>9.0909090909090917</v>
      </c>
      <c r="N136" s="23">
        <v>14.7</v>
      </c>
      <c r="O136" s="24" t="s">
        <v>27</v>
      </c>
    </row>
    <row r="137" spans="1:15" x14ac:dyDescent="0.25">
      <c r="N137" s="25">
        <f>N133*100/N134</f>
        <v>154.54545454545453</v>
      </c>
      <c r="O137" s="24" t="s">
        <v>28</v>
      </c>
    </row>
    <row r="139" spans="1:15" x14ac:dyDescent="0.25">
      <c r="F139" s="44" t="s">
        <v>7</v>
      </c>
      <c r="G139" s="44"/>
      <c r="H139" s="44"/>
      <c r="I139" s="44"/>
      <c r="J139" s="44"/>
    </row>
    <row r="140" spans="1:15" x14ac:dyDescent="0.25">
      <c r="B140" s="15" t="s">
        <v>10</v>
      </c>
      <c r="C140" s="15" t="s">
        <v>11</v>
      </c>
      <c r="D140" s="15" t="s">
        <v>12</v>
      </c>
      <c r="E140" s="15" t="s">
        <v>13</v>
      </c>
      <c r="F140" s="15" t="s">
        <v>14</v>
      </c>
      <c r="G140" s="15" t="s">
        <v>15</v>
      </c>
      <c r="H140" s="15" t="s">
        <v>16</v>
      </c>
      <c r="I140" s="15" t="s">
        <v>17</v>
      </c>
      <c r="J140" s="15" t="s">
        <v>18</v>
      </c>
      <c r="K140" s="15" t="s">
        <v>19</v>
      </c>
      <c r="L140" s="15" t="s">
        <v>20</v>
      </c>
      <c r="M140" s="15" t="s">
        <v>21</v>
      </c>
      <c r="N140" s="16" t="s">
        <v>22</v>
      </c>
    </row>
    <row r="141" spans="1:15" x14ac:dyDescent="0.25">
      <c r="A141" s="4" t="s">
        <v>23</v>
      </c>
      <c r="B141" s="19">
        <v>0</v>
      </c>
      <c r="C141" s="19">
        <v>0</v>
      </c>
      <c r="D141" s="19">
        <v>1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20">
        <f>SUM(B141:M141)</f>
        <v>1</v>
      </c>
    </row>
    <row r="142" spans="1:15" x14ac:dyDescent="0.25">
      <c r="A142" s="4" t="s">
        <v>24</v>
      </c>
      <c r="B142" s="34">
        <v>0</v>
      </c>
      <c r="C142" s="34">
        <v>1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0">
        <f>SUM(B142:M142)</f>
        <v>1</v>
      </c>
    </row>
    <row r="143" spans="1:15" x14ac:dyDescent="0.25">
      <c r="A143" s="4" t="s">
        <v>25</v>
      </c>
      <c r="B143" s="19">
        <f>A144+B141-B142</f>
        <v>11</v>
      </c>
      <c r="C143" s="19">
        <f t="shared" ref="C143:M143" si="28">B143+C141-C142</f>
        <v>10</v>
      </c>
      <c r="D143" s="19">
        <f t="shared" si="28"/>
        <v>11</v>
      </c>
      <c r="E143" s="19">
        <f t="shared" si="28"/>
        <v>11</v>
      </c>
      <c r="F143" s="19">
        <f t="shared" si="28"/>
        <v>11</v>
      </c>
      <c r="G143" s="19">
        <f t="shared" si="28"/>
        <v>11</v>
      </c>
      <c r="H143" s="19">
        <f t="shared" si="28"/>
        <v>11</v>
      </c>
      <c r="I143" s="19">
        <f t="shared" si="28"/>
        <v>11</v>
      </c>
      <c r="J143" s="19">
        <f t="shared" si="28"/>
        <v>11</v>
      </c>
      <c r="K143" s="19">
        <f t="shared" si="28"/>
        <v>11</v>
      </c>
      <c r="L143" s="19">
        <f t="shared" si="28"/>
        <v>11</v>
      </c>
      <c r="M143" s="19">
        <f t="shared" si="28"/>
        <v>11</v>
      </c>
      <c r="N143" s="20">
        <f>A144+N141-N142</f>
        <v>11</v>
      </c>
    </row>
    <row r="144" spans="1:15" x14ac:dyDescent="0.25">
      <c r="A144" s="6">
        <v>11</v>
      </c>
    </row>
    <row r="145" spans="1:15" x14ac:dyDescent="0.25">
      <c r="A145" s="4" t="s">
        <v>26</v>
      </c>
      <c r="B145" s="22">
        <f t="shared" ref="B145:M145" si="29">B142*100/B143</f>
        <v>0</v>
      </c>
      <c r="C145" s="22">
        <f t="shared" si="29"/>
        <v>10</v>
      </c>
      <c r="D145" s="22">
        <f t="shared" si="29"/>
        <v>0</v>
      </c>
      <c r="E145" s="22">
        <f t="shared" si="29"/>
        <v>0</v>
      </c>
      <c r="F145" s="22">
        <f t="shared" si="29"/>
        <v>0</v>
      </c>
      <c r="G145" s="22">
        <f t="shared" si="29"/>
        <v>0</v>
      </c>
      <c r="H145" s="22">
        <f t="shared" si="29"/>
        <v>0</v>
      </c>
      <c r="I145" s="22">
        <f t="shared" si="29"/>
        <v>0</v>
      </c>
      <c r="J145" s="22">
        <f t="shared" si="29"/>
        <v>0</v>
      </c>
      <c r="K145" s="22">
        <f t="shared" si="29"/>
        <v>0</v>
      </c>
      <c r="L145" s="22">
        <f t="shared" si="29"/>
        <v>0</v>
      </c>
      <c r="M145" s="22">
        <f t="shared" si="29"/>
        <v>0</v>
      </c>
      <c r="N145" s="23">
        <v>0.83</v>
      </c>
      <c r="O145" s="24" t="s">
        <v>27</v>
      </c>
    </row>
    <row r="146" spans="1:15" x14ac:dyDescent="0.25">
      <c r="N146" s="25">
        <f>N142*100/N143</f>
        <v>9.0909090909090917</v>
      </c>
      <c r="O146" s="24" t="s">
        <v>28</v>
      </c>
    </row>
    <row r="154" spans="1:15" ht="15.75" thickBot="1" x14ac:dyDescent="0.3"/>
    <row r="155" spans="1:15" x14ac:dyDescent="0.25">
      <c r="B155" s="28" t="s">
        <v>39</v>
      </c>
      <c r="C155" s="29"/>
      <c r="D155" s="29">
        <f>SUM(B12+B21+B30+B39+B47+B56+B65+B73+B82+B91+B101+B112+B122+B133+B142)</f>
        <v>13</v>
      </c>
      <c r="E155" s="30"/>
    </row>
    <row r="156" spans="1:15" x14ac:dyDescent="0.25">
      <c r="B156" s="31" t="s">
        <v>38</v>
      </c>
      <c r="D156" s="17">
        <f>SUM(C12+C21+C30+C39+C47+C56+C65+C73+C82+C91+C101+C112+C122+C133+C142)</f>
        <v>9</v>
      </c>
      <c r="E156" s="32"/>
    </row>
    <row r="157" spans="1:15" x14ac:dyDescent="0.25">
      <c r="B157" s="31" t="s">
        <v>42</v>
      </c>
      <c r="D157" s="17">
        <f>SUM(D12+D21+D30+D39+D47+D56+D65+D73+D82+D91+D101+D112+D122+D133+D142)</f>
        <v>5</v>
      </c>
      <c r="E157" s="32"/>
    </row>
    <row r="158" spans="1:15" x14ac:dyDescent="0.25">
      <c r="B158" s="31" t="s">
        <v>43</v>
      </c>
      <c r="D158" s="17">
        <f>SUM(E12+E21+E30+E39+E47+E56+E65+E73+E82+E91+E101+E112+E122+E133+E142)</f>
        <v>15</v>
      </c>
      <c r="E158" s="32"/>
    </row>
    <row r="159" spans="1:15" x14ac:dyDescent="0.25">
      <c r="B159" s="31" t="s">
        <v>45</v>
      </c>
      <c r="D159" s="17">
        <f>SUM(F12+F21+F30+F39+F47+F56+F65+F73+F82+F91+F101+F112+F122+F133+F142)</f>
        <v>13</v>
      </c>
      <c r="E159" s="32"/>
    </row>
    <row r="160" spans="1:15" x14ac:dyDescent="0.25">
      <c r="B160" s="31" t="s">
        <v>46</v>
      </c>
      <c r="D160" s="17">
        <f>SUM(G12+G21+G30+G39+G47+G56+G65+G73+G82+G91+G101+G112+G122+G133+G142)</f>
        <v>18</v>
      </c>
      <c r="E160" s="32"/>
    </row>
    <row r="161" spans="2:7" x14ac:dyDescent="0.25">
      <c r="B161" s="31" t="s">
        <v>47</v>
      </c>
      <c r="D161" s="17">
        <f>SUM(H12+H21+H30+H39+H47+H56+H65+H73+H82+H91+H101+H112+H122+H133+H142)</f>
        <v>13</v>
      </c>
      <c r="E161" s="32"/>
    </row>
    <row r="162" spans="2:7" x14ac:dyDescent="0.25">
      <c r="B162" s="31" t="s">
        <v>48</v>
      </c>
      <c r="D162" s="17">
        <f>SUM(I12+I21+I30+I39+I47+I56+I65+I73+I82+I91+I101+I112+I112+I122+I133+I142)</f>
        <v>10</v>
      </c>
      <c r="E162" s="32"/>
    </row>
    <row r="163" spans="2:7" x14ac:dyDescent="0.25">
      <c r="B163" s="31" t="s">
        <v>50</v>
      </c>
      <c r="D163" s="17">
        <f>SUM(J12+J21+J30+J39+J47+J56+J65+J73+J82+J91+J101+J112+J122+J133+J142)</f>
        <v>12</v>
      </c>
      <c r="E163" s="32"/>
    </row>
    <row r="164" spans="2:7" x14ac:dyDescent="0.25">
      <c r="B164" s="31" t="s">
        <v>51</v>
      </c>
      <c r="D164" s="17">
        <f>SUM(K12+K21+K30+K39+K47+K56+K65+K73+K82+K91+K101+K112+K122+K133+K142)</f>
        <v>16</v>
      </c>
      <c r="E164" s="32"/>
    </row>
    <row r="165" spans="2:7" x14ac:dyDescent="0.25">
      <c r="B165" s="31" t="s">
        <v>52</v>
      </c>
      <c r="D165" s="17">
        <f>L12+L21+L30+L39+L47+L56+L65+L73+L82+L91+L101+L112+L122+L133+L142</f>
        <v>6</v>
      </c>
      <c r="E165" s="32"/>
    </row>
    <row r="166" spans="2:7" x14ac:dyDescent="0.25">
      <c r="B166" s="31" t="s">
        <v>53</v>
      </c>
      <c r="D166" s="17">
        <f>SUM(M12+M21+M30+M39+M47+M56+M65+M73+M82+M91+M101+M112+M122+M133+M142)</f>
        <v>4</v>
      </c>
      <c r="E166" s="32"/>
      <c r="G166" s="17">
        <v>130</v>
      </c>
    </row>
    <row r="167" spans="2:7" ht="15.75" thickBot="1" x14ac:dyDescent="0.3">
      <c r="B167" s="36" t="s">
        <v>37</v>
      </c>
      <c r="C167" s="37"/>
      <c r="D167" s="37">
        <f>SUM(D155:D165)</f>
        <v>130</v>
      </c>
      <c r="E167" s="38"/>
      <c r="G167" s="17">
        <v>4</v>
      </c>
    </row>
    <row r="168" spans="2:7" x14ac:dyDescent="0.25">
      <c r="G168" s="17">
        <f>G166-G167</f>
        <v>126</v>
      </c>
    </row>
    <row r="169" spans="2:7" x14ac:dyDescent="0.25">
      <c r="D169" s="33"/>
    </row>
    <row r="170" spans="2:7" x14ac:dyDescent="0.25">
      <c r="D170" s="33" t="s">
        <v>41</v>
      </c>
      <c r="E170" s="17">
        <f>SUM(N13+N22+N31+N40+N48+N57+N66+N74+N83+N92+N102+N113+N123+N134+N143)</f>
        <v>163</v>
      </c>
    </row>
    <row r="171" spans="2:7" x14ac:dyDescent="0.25">
      <c r="B171" s="17" t="s">
        <v>44</v>
      </c>
      <c r="D171" s="41">
        <f>D167*100/E170</f>
        <v>79.75460122699387</v>
      </c>
    </row>
    <row r="180" spans="2:5" x14ac:dyDescent="0.25">
      <c r="B180" s="39" t="s">
        <v>36</v>
      </c>
      <c r="C180" s="39"/>
      <c r="D180" s="39" t="s">
        <v>28</v>
      </c>
      <c r="E180" s="39"/>
    </row>
    <row r="181" spans="2:5" x14ac:dyDescent="0.25">
      <c r="B181" s="17" t="str">
        <f>F9</f>
        <v>ATLACOMULCO</v>
      </c>
      <c r="D181" s="33">
        <f>N16</f>
        <v>100</v>
      </c>
    </row>
    <row r="182" spans="2:5" x14ac:dyDescent="0.25">
      <c r="B182" s="17" t="str">
        <f>F18</f>
        <v>ATLIXCO</v>
      </c>
      <c r="D182" s="33">
        <f>N25</f>
        <v>100</v>
      </c>
    </row>
    <row r="183" spans="2:5" x14ac:dyDescent="0.25">
      <c r="B183" s="17" t="str">
        <f>F27</f>
        <v>CORDOBA</v>
      </c>
      <c r="D183" s="33">
        <f>N34</f>
        <v>30</v>
      </c>
    </row>
    <row r="184" spans="2:5" x14ac:dyDescent="0.25">
      <c r="B184" s="17" t="str">
        <f>F36</f>
        <v>CUERNAVACA</v>
      </c>
      <c r="D184" s="33">
        <f>N43</f>
        <v>108.33333333333333</v>
      </c>
    </row>
    <row r="185" spans="2:5" x14ac:dyDescent="0.25">
      <c r="B185" s="17" t="str">
        <f>F44</f>
        <v>HUAMANTLA</v>
      </c>
      <c r="D185" s="33">
        <f>N51</f>
        <v>211.11111111111111</v>
      </c>
    </row>
    <row r="186" spans="2:5" x14ac:dyDescent="0.25">
      <c r="B186" s="17" t="str">
        <f>F53</f>
        <v>IXTLAHUACA</v>
      </c>
      <c r="D186" s="33">
        <f>N60</f>
        <v>250</v>
      </c>
    </row>
    <row r="187" spans="2:5" x14ac:dyDescent="0.25">
      <c r="B187" s="17" t="str">
        <f>F62</f>
        <v>MIACATLAN</v>
      </c>
      <c r="D187" s="33">
        <f>N69</f>
        <v>144.44444444444446</v>
      </c>
    </row>
    <row r="188" spans="2:5" x14ac:dyDescent="0.25">
      <c r="B188" s="17" t="str">
        <f>F70</f>
        <v>ORIZABA</v>
      </c>
      <c r="D188" s="33">
        <f>N77</f>
        <v>18.181818181818183</v>
      </c>
    </row>
    <row r="189" spans="2:5" x14ac:dyDescent="0.25">
      <c r="B189" s="17" t="str">
        <f>F88</f>
        <v>SAN JUAN</v>
      </c>
      <c r="D189" s="33">
        <f>N95</f>
        <v>266.66666666666669</v>
      </c>
    </row>
    <row r="190" spans="2:5" x14ac:dyDescent="0.25">
      <c r="B190" s="17" t="str">
        <f>F98</f>
        <v>SAN LUIS</v>
      </c>
      <c r="D190" s="33">
        <f>N105</f>
        <v>22.222222222222221</v>
      </c>
    </row>
    <row r="191" spans="2:5" x14ac:dyDescent="0.25">
      <c r="B191" s="17" t="str">
        <f>F109</f>
        <v>TENANGO</v>
      </c>
      <c r="D191" s="33">
        <f>N116</f>
        <v>66.666666666666671</v>
      </c>
    </row>
    <row r="192" spans="2:5" x14ac:dyDescent="0.25">
      <c r="B192" s="17" t="str">
        <f>F119</f>
        <v>TLAXCALA</v>
      </c>
      <c r="D192" s="33">
        <f>N126</f>
        <v>91.666666666666671</v>
      </c>
    </row>
    <row r="193" spans="2:4" x14ac:dyDescent="0.25">
      <c r="B193" s="17" t="str">
        <f>F130</f>
        <v>TULA</v>
      </c>
      <c r="D193" s="33">
        <f>N137</f>
        <v>154.54545454545453</v>
      </c>
    </row>
    <row r="195" spans="2:4" x14ac:dyDescent="0.25">
      <c r="D195" s="33"/>
    </row>
  </sheetData>
  <mergeCells count="16">
    <mergeCell ref="F139:J139"/>
    <mergeCell ref="C2:M3"/>
    <mergeCell ref="F130:J130"/>
    <mergeCell ref="F119:J119"/>
    <mergeCell ref="F36:J36"/>
    <mergeCell ref="F9:J9"/>
    <mergeCell ref="F18:J18"/>
    <mergeCell ref="F27:J27"/>
    <mergeCell ref="F44:J44"/>
    <mergeCell ref="F53:J53"/>
    <mergeCell ref="F62:J62"/>
    <mergeCell ref="F88:J88"/>
    <mergeCell ref="F98:J98"/>
    <mergeCell ref="F109:J109"/>
    <mergeCell ref="F70:J70"/>
    <mergeCell ref="F79:J79"/>
  </mergeCells>
  <conditionalFormatting sqref="B169:B170 B155:E167">
    <cfRule type="iconSet" priority="1">
      <iconSet iconSet="3Symbols">
        <cfvo type="percent" val="0"/>
        <cfvo type="percent" val="33"/>
        <cfvo type="percent" val="67"/>
      </iconSet>
    </cfRule>
  </conditionalFormatting>
  <hyperlinks>
    <hyperlink ref="B12" location="Causales!A1" display="Causales!A1" xr:uid="{14CAACE4-F948-4E6B-9CE5-AEC4C49E9EDE}"/>
    <hyperlink ref="C12" location="Causales!A1" display="Causales!A1" xr:uid="{83FC1167-CB06-4F71-AF27-F71273AEEBF4}"/>
    <hyperlink ref="C65" location="Causales!A1" display="Causales!A1" xr:uid="{CBDB765B-98B8-4DAE-A8D5-C643A59BEFFA}"/>
    <hyperlink ref="B21:C21" location="Causales!A1" display="Causales!A1" xr:uid="{83CB1D80-EF4A-4721-9035-ECD1776E3525}"/>
    <hyperlink ref="B39:C39" location="Causales!A1" display="Causales!A1" xr:uid="{FD11534D-0CAC-4F2E-8E3F-4CE61A12CF49}"/>
    <hyperlink ref="B47:C47" location="Causales!A1" display="Causales!A1" xr:uid="{019116DB-CA6B-4D05-9212-E20CA9E31055}"/>
    <hyperlink ref="C56" location="Causales!A1" display="Causales!A1" xr:uid="{0E398A6C-DE26-4306-A355-BF6135A8C431}"/>
    <hyperlink ref="B65:C65" location="Causales!A1" display="Causales!A1" xr:uid="{271DCE1E-F3A1-4D92-8110-C596B6BFEB8F}"/>
    <hyperlink ref="B73:C73" location="Causales!A1" display="Causales!A1" xr:uid="{6B38B0EA-CF13-427C-92D5-0AB8B65F909D}"/>
    <hyperlink ref="B101:C101" location="Causales!A1" display="Causales!A1" xr:uid="{C421E92A-DB31-48DC-A83C-5E7BBE0953A3}"/>
    <hyperlink ref="B112:C112" location="Causales!A1" display="Causales!A1" xr:uid="{8AD34247-C274-4A60-BCE6-AC282833D642}"/>
    <hyperlink ref="B122:C122" location="Causales!A1" display="Causales!A1" xr:uid="{DDC266A2-6EE1-47C0-A07F-B6080F44DB34}"/>
    <hyperlink ref="B133:C133" location="Causales!A1" display="Causales!A1" xr:uid="{1E7FCDB5-444E-4C7E-A6C2-788F54EA93D1}"/>
    <hyperlink ref="B82:C82" location="Causales!A1" display="Causales!A1" xr:uid="{FDD46DC8-8A11-457D-93D0-4A0A04924578}"/>
    <hyperlink ref="B142:C142" location="Causales!A1" display="Causales!A1" xr:uid="{F9916935-6C44-41FD-A035-473E36FACBCA}"/>
  </hyperlinks>
  <pageMargins left="0.70866141732283472" right="0.70866141732283472" top="0.74803149606299213" bottom="0.74803149606299213" header="0.31496062992125984" footer="0.31496062992125984"/>
  <pageSetup scale="8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0C7F-6152-4EC4-A91D-9D118FC75991}">
  <sheetPr>
    <tabColor theme="5" tint="0.39997558519241921"/>
    <pageSetUpPr fitToPage="1"/>
  </sheetPr>
  <dimension ref="A2:O169"/>
  <sheetViews>
    <sheetView showGridLines="0" tabSelected="1" topLeftCell="A116" zoomScaleNormal="100" workbookViewId="0">
      <selection activeCell="H145" sqref="H145"/>
    </sheetView>
  </sheetViews>
  <sheetFormatPr baseColWidth="10" defaultRowHeight="15" x14ac:dyDescent="0.25"/>
  <cols>
    <col min="1" max="1" width="11.85546875" customWidth="1"/>
    <col min="2" max="8" width="8.7109375" style="17" customWidth="1"/>
    <col min="9" max="9" width="10.5703125" style="17" customWidth="1"/>
    <col min="10" max="10" width="8.7109375" style="17" customWidth="1"/>
    <col min="11" max="11" width="10.7109375" style="17" customWidth="1"/>
    <col min="12" max="14" width="8.7109375" style="17" customWidth="1"/>
    <col min="15" max="15" width="19.85546875" style="17" customWidth="1"/>
  </cols>
  <sheetData>
    <row r="2" spans="1:15" x14ac:dyDescent="0.25">
      <c r="C2" s="45" t="s">
        <v>54</v>
      </c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5" x14ac:dyDescent="0.25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8" spans="1:15" x14ac:dyDescent="0.25">
      <c r="H8" s="18"/>
      <c r="I8" s="18"/>
      <c r="J8" s="18"/>
      <c r="K8" s="18"/>
    </row>
    <row r="9" spans="1:15" x14ac:dyDescent="0.25">
      <c r="F9" s="44" t="s">
        <v>30</v>
      </c>
      <c r="G9" s="44"/>
      <c r="H9" s="44"/>
      <c r="I9" s="44"/>
      <c r="J9" s="44"/>
    </row>
    <row r="10" spans="1:15" x14ac:dyDescent="0.25">
      <c r="B10" s="15" t="s">
        <v>10</v>
      </c>
      <c r="C10" s="15" t="s">
        <v>11</v>
      </c>
      <c r="D10" s="15" t="s">
        <v>12</v>
      </c>
      <c r="E10" s="15" t="s">
        <v>13</v>
      </c>
      <c r="F10" s="15" t="s">
        <v>14</v>
      </c>
      <c r="G10" s="15" t="s">
        <v>15</v>
      </c>
      <c r="H10" s="15" t="s">
        <v>16</v>
      </c>
      <c r="I10" s="15" t="s">
        <v>17</v>
      </c>
      <c r="J10" s="15" t="s">
        <v>18</v>
      </c>
      <c r="K10" s="15" t="s">
        <v>19</v>
      </c>
      <c r="L10" s="15" t="s">
        <v>20</v>
      </c>
      <c r="M10" s="15" t="s">
        <v>21</v>
      </c>
      <c r="N10" s="16" t="s">
        <v>22</v>
      </c>
    </row>
    <row r="11" spans="1:15" x14ac:dyDescent="0.25">
      <c r="A11" s="4" t="s">
        <v>23</v>
      </c>
      <c r="B11" s="19">
        <v>0</v>
      </c>
      <c r="C11" s="19">
        <v>2</v>
      </c>
      <c r="D11" s="19">
        <v>1</v>
      </c>
      <c r="E11" s="19">
        <v>1</v>
      </c>
      <c r="F11" s="19">
        <v>0</v>
      </c>
      <c r="G11" s="19"/>
      <c r="H11" s="19"/>
      <c r="I11" s="19"/>
      <c r="J11" s="19"/>
      <c r="K11" s="19"/>
      <c r="L11" s="19"/>
      <c r="M11" s="19"/>
      <c r="N11" s="20">
        <f>SUM(B11:M11)</f>
        <v>4</v>
      </c>
    </row>
    <row r="12" spans="1:15" x14ac:dyDescent="0.25">
      <c r="A12" s="4" t="s">
        <v>24</v>
      </c>
      <c r="B12" s="34">
        <v>3</v>
      </c>
      <c r="C12" s="34">
        <v>0</v>
      </c>
      <c r="D12" s="21">
        <v>1</v>
      </c>
      <c r="E12" s="21">
        <v>0</v>
      </c>
      <c r="F12" s="21">
        <v>0</v>
      </c>
      <c r="G12" s="21"/>
      <c r="H12" s="21"/>
      <c r="I12" s="21"/>
      <c r="J12" s="21"/>
      <c r="K12" s="21"/>
      <c r="L12" s="21"/>
      <c r="M12" s="21"/>
      <c r="N12" s="20">
        <f>SUM(B12:M12)</f>
        <v>4</v>
      </c>
    </row>
    <row r="13" spans="1:15" x14ac:dyDescent="0.25">
      <c r="A13" s="4" t="s">
        <v>25</v>
      </c>
      <c r="B13" s="19">
        <f>A14+B11-B12</f>
        <v>6</v>
      </c>
      <c r="C13" s="19">
        <f>B13+C11-C12</f>
        <v>8</v>
      </c>
      <c r="D13" s="19">
        <f t="shared" ref="D13:F13" si="0">C13+D11-D12</f>
        <v>8</v>
      </c>
      <c r="E13" s="19">
        <f t="shared" si="0"/>
        <v>9</v>
      </c>
      <c r="F13" s="19">
        <f t="shared" si="0"/>
        <v>9</v>
      </c>
      <c r="G13" s="19"/>
      <c r="H13" s="19"/>
      <c r="I13" s="19"/>
      <c r="J13" s="19"/>
      <c r="K13" s="19"/>
      <c r="L13" s="19"/>
      <c r="M13" s="19"/>
      <c r="N13" s="20">
        <f>A14+N11-N12</f>
        <v>9</v>
      </c>
    </row>
    <row r="14" spans="1:15" x14ac:dyDescent="0.25">
      <c r="A14" s="6">
        <v>9</v>
      </c>
    </row>
    <row r="15" spans="1:15" x14ac:dyDescent="0.25">
      <c r="A15" s="4" t="s">
        <v>26</v>
      </c>
      <c r="B15" s="22">
        <f>(B12*100/B13)/3</f>
        <v>16.666666666666668</v>
      </c>
      <c r="C15" s="22">
        <f t="shared" ref="C15:M15" si="1">C12*100/C13</f>
        <v>0</v>
      </c>
      <c r="D15" s="22">
        <f t="shared" si="1"/>
        <v>12.5</v>
      </c>
      <c r="E15" s="22">
        <f t="shared" si="1"/>
        <v>0</v>
      </c>
      <c r="F15" s="22">
        <f t="shared" si="1"/>
        <v>0</v>
      </c>
      <c r="G15" s="22" t="e">
        <f t="shared" si="1"/>
        <v>#DIV/0!</v>
      </c>
      <c r="H15" s="22" t="e">
        <f t="shared" si="1"/>
        <v>#DIV/0!</v>
      </c>
      <c r="I15" s="22" t="e">
        <f t="shared" si="1"/>
        <v>#DIV/0!</v>
      </c>
      <c r="J15" s="22" t="e">
        <f t="shared" si="1"/>
        <v>#DIV/0!</v>
      </c>
      <c r="K15" s="22" t="e">
        <f t="shared" si="1"/>
        <v>#DIV/0!</v>
      </c>
      <c r="L15" s="22" t="e">
        <f t="shared" si="1"/>
        <v>#DIV/0!</v>
      </c>
      <c r="M15" s="22" t="e">
        <f t="shared" si="1"/>
        <v>#DIV/0!</v>
      </c>
      <c r="N15" s="23">
        <v>5.83</v>
      </c>
      <c r="O15" s="24" t="s">
        <v>27</v>
      </c>
    </row>
    <row r="16" spans="1:15" x14ac:dyDescent="0.25">
      <c r="N16" s="25">
        <f>N12*100/N13</f>
        <v>44.444444444444443</v>
      </c>
      <c r="O16" s="24" t="s">
        <v>28</v>
      </c>
    </row>
    <row r="18" spans="1:15" x14ac:dyDescent="0.25">
      <c r="F18" s="44" t="s">
        <v>0</v>
      </c>
      <c r="G18" s="44"/>
      <c r="H18" s="44"/>
      <c r="I18" s="44"/>
      <c r="J18" s="44"/>
    </row>
    <row r="19" spans="1:15" x14ac:dyDescent="0.25">
      <c r="B19" s="15" t="s">
        <v>10</v>
      </c>
      <c r="C19" s="15" t="s">
        <v>11</v>
      </c>
      <c r="D19" s="15" t="s">
        <v>12</v>
      </c>
      <c r="E19" s="15" t="s">
        <v>13</v>
      </c>
      <c r="F19" s="15" t="s">
        <v>14</v>
      </c>
      <c r="G19" s="15" t="s">
        <v>15</v>
      </c>
      <c r="H19" s="15" t="s">
        <v>16</v>
      </c>
      <c r="I19" s="15" t="s">
        <v>17</v>
      </c>
      <c r="J19" s="15" t="s">
        <v>18</v>
      </c>
      <c r="K19" s="15" t="s">
        <v>19</v>
      </c>
      <c r="L19" s="15" t="s">
        <v>20</v>
      </c>
      <c r="M19" s="15" t="s">
        <v>21</v>
      </c>
      <c r="N19" s="16" t="s">
        <v>22</v>
      </c>
    </row>
    <row r="20" spans="1:15" x14ac:dyDescent="0.25">
      <c r="A20" s="4" t="s">
        <v>23</v>
      </c>
      <c r="B20" s="19">
        <v>2</v>
      </c>
      <c r="C20" s="19">
        <v>1</v>
      </c>
      <c r="D20" s="19">
        <v>0</v>
      </c>
      <c r="E20" s="19">
        <v>0</v>
      </c>
      <c r="F20" s="19">
        <v>0</v>
      </c>
      <c r="G20" s="19"/>
      <c r="H20" s="19"/>
      <c r="I20" s="19"/>
      <c r="J20" s="19"/>
      <c r="K20" s="19"/>
      <c r="L20" s="19"/>
      <c r="M20" s="19"/>
      <c r="N20" s="20">
        <f>SUM(B20:M20)</f>
        <v>3</v>
      </c>
    </row>
    <row r="21" spans="1:15" x14ac:dyDescent="0.25">
      <c r="A21" s="4" t="s">
        <v>24</v>
      </c>
      <c r="B21" s="34">
        <v>1</v>
      </c>
      <c r="C21" s="34">
        <v>0</v>
      </c>
      <c r="D21" s="21">
        <v>0</v>
      </c>
      <c r="E21" s="21">
        <v>0</v>
      </c>
      <c r="F21" s="21">
        <v>0</v>
      </c>
      <c r="G21" s="21"/>
      <c r="H21" s="21"/>
      <c r="I21" s="21"/>
      <c r="J21" s="21"/>
      <c r="K21" s="21"/>
      <c r="L21" s="21"/>
      <c r="M21" s="21"/>
      <c r="N21" s="20">
        <f>SUM(B21:M21)</f>
        <v>1</v>
      </c>
    </row>
    <row r="22" spans="1:15" x14ac:dyDescent="0.25">
      <c r="A22" s="4" t="s">
        <v>25</v>
      </c>
      <c r="B22" s="19">
        <f>A23+B20-B21</f>
        <v>8</v>
      </c>
      <c r="C22" s="19">
        <f>B22+C20-C21</f>
        <v>9</v>
      </c>
      <c r="D22" s="19">
        <f>C22+D20-D21</f>
        <v>9</v>
      </c>
      <c r="E22" s="19">
        <f>D22+E20-E21</f>
        <v>9</v>
      </c>
      <c r="F22" s="19">
        <f>E22+F20-F21</f>
        <v>9</v>
      </c>
      <c r="G22" s="19"/>
      <c r="H22" s="19"/>
      <c r="I22" s="19"/>
      <c r="J22" s="19"/>
      <c r="K22" s="19"/>
      <c r="L22" s="19"/>
      <c r="M22" s="19"/>
      <c r="N22" s="20">
        <f>A23+N20-N21</f>
        <v>9</v>
      </c>
    </row>
    <row r="23" spans="1:15" x14ac:dyDescent="0.25">
      <c r="A23" s="6">
        <v>7</v>
      </c>
    </row>
    <row r="24" spans="1:15" x14ac:dyDescent="0.25">
      <c r="A24" s="4" t="s">
        <v>26</v>
      </c>
      <c r="B24" s="22">
        <f t="shared" ref="B24:M24" si="2">B21*100/B22</f>
        <v>12.5</v>
      </c>
      <c r="C24" s="22">
        <f t="shared" si="2"/>
        <v>0</v>
      </c>
      <c r="D24" s="22">
        <f t="shared" si="2"/>
        <v>0</v>
      </c>
      <c r="E24" s="22">
        <f t="shared" si="2"/>
        <v>0</v>
      </c>
      <c r="F24" s="22">
        <f t="shared" si="2"/>
        <v>0</v>
      </c>
      <c r="G24" s="22" t="e">
        <f t="shared" si="2"/>
        <v>#DIV/0!</v>
      </c>
      <c r="H24" s="22" t="e">
        <f t="shared" si="2"/>
        <v>#DIV/0!</v>
      </c>
      <c r="I24" s="22" t="e">
        <f t="shared" si="2"/>
        <v>#DIV/0!</v>
      </c>
      <c r="J24" s="22" t="e">
        <f t="shared" si="2"/>
        <v>#DIV/0!</v>
      </c>
      <c r="K24" s="22" t="e">
        <f t="shared" si="2"/>
        <v>#DIV/0!</v>
      </c>
      <c r="L24" s="22" t="e">
        <f t="shared" si="2"/>
        <v>#DIV/0!</v>
      </c>
      <c r="M24" s="22" t="e">
        <f t="shared" si="2"/>
        <v>#DIV/0!</v>
      </c>
      <c r="N24" s="23">
        <v>2.5</v>
      </c>
      <c r="O24" s="24" t="s">
        <v>27</v>
      </c>
    </row>
    <row r="25" spans="1:15" x14ac:dyDescent="0.25">
      <c r="N25" s="25">
        <f>N21*100/N22</f>
        <v>11.111111111111111</v>
      </c>
      <c r="O25" s="24" t="s">
        <v>28</v>
      </c>
    </row>
    <row r="26" spans="1:15" x14ac:dyDescent="0.25">
      <c r="H26" s="18"/>
      <c r="I26" s="18"/>
      <c r="J26" s="18"/>
      <c r="K26" s="18"/>
    </row>
    <row r="27" spans="1:15" x14ac:dyDescent="0.25">
      <c r="F27" s="44" t="s">
        <v>1</v>
      </c>
      <c r="G27" s="44"/>
      <c r="H27" s="44"/>
      <c r="I27" s="44"/>
      <c r="J27" s="44"/>
    </row>
    <row r="28" spans="1:15" x14ac:dyDescent="0.25">
      <c r="B28" s="15" t="s">
        <v>10</v>
      </c>
      <c r="C28" s="15" t="s">
        <v>11</v>
      </c>
      <c r="D28" s="15" t="s">
        <v>12</v>
      </c>
      <c r="E28" s="15" t="s">
        <v>13</v>
      </c>
      <c r="F28" s="15" t="s">
        <v>14</v>
      </c>
      <c r="G28" s="15" t="s">
        <v>15</v>
      </c>
      <c r="H28" s="15" t="s">
        <v>16</v>
      </c>
      <c r="I28" s="15" t="s">
        <v>17</v>
      </c>
      <c r="J28" s="15" t="s">
        <v>18</v>
      </c>
      <c r="K28" s="15" t="s">
        <v>19</v>
      </c>
      <c r="L28" s="15" t="s">
        <v>20</v>
      </c>
      <c r="M28" s="15" t="s">
        <v>21</v>
      </c>
      <c r="N28" s="16" t="s">
        <v>22</v>
      </c>
    </row>
    <row r="29" spans="1:15" x14ac:dyDescent="0.25">
      <c r="A29" s="4" t="s">
        <v>23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/>
      <c r="H29" s="19"/>
      <c r="I29" s="19"/>
      <c r="J29" s="19"/>
      <c r="K29" s="19"/>
      <c r="L29" s="19"/>
      <c r="M29" s="19"/>
      <c r="N29" s="20">
        <f>SUM(B29:M29)</f>
        <v>0</v>
      </c>
    </row>
    <row r="30" spans="1:15" x14ac:dyDescent="0.25">
      <c r="A30" s="4" t="s">
        <v>24</v>
      </c>
      <c r="B30" s="21">
        <v>0</v>
      </c>
      <c r="C30" s="21">
        <v>0</v>
      </c>
      <c r="D30" s="21">
        <v>0</v>
      </c>
      <c r="E30" s="21">
        <v>1</v>
      </c>
      <c r="F30" s="21">
        <v>0</v>
      </c>
      <c r="G30" s="21"/>
      <c r="H30" s="21"/>
      <c r="I30" s="21"/>
      <c r="J30" s="21"/>
      <c r="K30" s="21"/>
      <c r="L30" s="21"/>
      <c r="M30" s="21"/>
      <c r="N30" s="20">
        <f>SUM(B30:M30)</f>
        <v>1</v>
      </c>
    </row>
    <row r="31" spans="1:15" x14ac:dyDescent="0.25">
      <c r="A31" s="4" t="s">
        <v>25</v>
      </c>
      <c r="B31" s="19">
        <f>A32+B29-B30</f>
        <v>20</v>
      </c>
      <c r="C31" s="19">
        <f>B31+C29-C30</f>
        <v>20</v>
      </c>
      <c r="D31" s="19">
        <f>C31+D29-D30</f>
        <v>20</v>
      </c>
      <c r="E31" s="19">
        <f>D31+E29-E30</f>
        <v>19</v>
      </c>
      <c r="F31" s="19">
        <f>E31+F29-F30</f>
        <v>19</v>
      </c>
      <c r="G31" s="19"/>
      <c r="H31" s="19"/>
      <c r="I31" s="19"/>
      <c r="J31" s="19"/>
      <c r="K31" s="19"/>
      <c r="L31" s="19"/>
      <c r="M31" s="19"/>
      <c r="N31" s="20">
        <f>A32+N29-N30</f>
        <v>19</v>
      </c>
    </row>
    <row r="32" spans="1:15" x14ac:dyDescent="0.25">
      <c r="A32" s="6">
        <v>20</v>
      </c>
    </row>
    <row r="33" spans="1:15" x14ac:dyDescent="0.25">
      <c r="A33" s="4" t="s">
        <v>26</v>
      </c>
      <c r="B33" s="22">
        <f t="shared" ref="B33:M33" si="3">B30*100/B31</f>
        <v>0</v>
      </c>
      <c r="C33" s="22">
        <f t="shared" si="3"/>
        <v>0</v>
      </c>
      <c r="D33" s="22">
        <f t="shared" si="3"/>
        <v>0</v>
      </c>
      <c r="E33" s="22">
        <f t="shared" si="3"/>
        <v>5.2631578947368425</v>
      </c>
      <c r="F33" s="22">
        <f t="shared" si="3"/>
        <v>0</v>
      </c>
      <c r="G33" s="22" t="e">
        <f t="shared" si="3"/>
        <v>#DIV/0!</v>
      </c>
      <c r="H33" s="22" t="e">
        <f t="shared" si="3"/>
        <v>#DIV/0!</v>
      </c>
      <c r="I33" s="22" t="e">
        <f t="shared" si="3"/>
        <v>#DIV/0!</v>
      </c>
      <c r="J33" s="22" t="e">
        <f t="shared" si="3"/>
        <v>#DIV/0!</v>
      </c>
      <c r="K33" s="22" t="e">
        <f t="shared" si="3"/>
        <v>#DIV/0!</v>
      </c>
      <c r="L33" s="22" t="e">
        <f t="shared" si="3"/>
        <v>#DIV/0!</v>
      </c>
      <c r="M33" s="22" t="e">
        <f t="shared" si="3"/>
        <v>#DIV/0!</v>
      </c>
      <c r="N33" s="35">
        <v>1.05</v>
      </c>
      <c r="O33" s="24" t="s">
        <v>27</v>
      </c>
    </row>
    <row r="34" spans="1:15" x14ac:dyDescent="0.25">
      <c r="N34" s="25">
        <f>N30*100/N31</f>
        <v>5.2631578947368425</v>
      </c>
      <c r="O34" s="24" t="s">
        <v>28</v>
      </c>
    </row>
    <row r="35" spans="1:15" x14ac:dyDescent="0.25">
      <c r="H35" s="18"/>
      <c r="I35" s="18"/>
      <c r="J35" s="18"/>
      <c r="K35" s="18"/>
    </row>
    <row r="36" spans="1:15" x14ac:dyDescent="0.25">
      <c r="F36" s="44" t="s">
        <v>33</v>
      </c>
      <c r="G36" s="44"/>
      <c r="H36" s="44"/>
      <c r="I36" s="44"/>
      <c r="J36" s="44"/>
    </row>
    <row r="37" spans="1:15" x14ac:dyDescent="0.25">
      <c r="B37" s="15" t="s">
        <v>10</v>
      </c>
      <c r="C37" s="15" t="s">
        <v>11</v>
      </c>
      <c r="D37" s="15" t="s">
        <v>12</v>
      </c>
      <c r="E37" s="15" t="s">
        <v>13</v>
      </c>
      <c r="F37" s="15" t="s">
        <v>14</v>
      </c>
      <c r="G37" s="15" t="s">
        <v>15</v>
      </c>
      <c r="H37" s="15" t="s">
        <v>16</v>
      </c>
      <c r="I37" s="15" t="s">
        <v>17</v>
      </c>
      <c r="J37" s="15" t="s">
        <v>18</v>
      </c>
      <c r="K37" s="15" t="s">
        <v>19</v>
      </c>
      <c r="L37" s="15" t="s">
        <v>20</v>
      </c>
      <c r="M37" s="15" t="s">
        <v>21</v>
      </c>
      <c r="N37" s="16" t="s">
        <v>22</v>
      </c>
    </row>
    <row r="38" spans="1:15" x14ac:dyDescent="0.25">
      <c r="A38" s="4" t="s">
        <v>23</v>
      </c>
      <c r="B38" s="19">
        <v>4</v>
      </c>
      <c r="C38" s="19">
        <v>1</v>
      </c>
      <c r="D38" s="19">
        <v>1</v>
      </c>
      <c r="E38" s="19">
        <v>1</v>
      </c>
      <c r="F38" s="19">
        <v>3</v>
      </c>
      <c r="G38" s="19"/>
      <c r="H38" s="19"/>
      <c r="I38" s="19"/>
      <c r="J38" s="19"/>
      <c r="K38" s="19"/>
      <c r="L38" s="19"/>
      <c r="M38" s="19"/>
      <c r="N38" s="20">
        <f>SUM(B38:M38)</f>
        <v>10</v>
      </c>
    </row>
    <row r="39" spans="1:15" x14ac:dyDescent="0.25">
      <c r="A39" s="4" t="s">
        <v>24</v>
      </c>
      <c r="B39" s="34">
        <v>4</v>
      </c>
      <c r="C39" s="34">
        <v>2</v>
      </c>
      <c r="D39" s="21">
        <v>1</v>
      </c>
      <c r="E39" s="21">
        <v>2</v>
      </c>
      <c r="F39" s="21">
        <v>3</v>
      </c>
      <c r="G39" s="21"/>
      <c r="H39" s="21"/>
      <c r="I39" s="21"/>
      <c r="J39" s="21"/>
      <c r="K39" s="21"/>
      <c r="L39" s="21"/>
      <c r="M39" s="21"/>
      <c r="N39" s="20">
        <f>SUM(B39:M39)</f>
        <v>12</v>
      </c>
    </row>
    <row r="40" spans="1:15" x14ac:dyDescent="0.25">
      <c r="A40" s="4" t="s">
        <v>25</v>
      </c>
      <c r="B40" s="19">
        <f>A41+B38-B39</f>
        <v>8</v>
      </c>
      <c r="C40" s="19">
        <f>B40+C38-C39</f>
        <v>7</v>
      </c>
      <c r="D40" s="19">
        <f>C40+D38-D39</f>
        <v>7</v>
      </c>
      <c r="E40" s="19">
        <f>D40+E38-E39</f>
        <v>6</v>
      </c>
      <c r="F40" s="19">
        <f>E40+F38-F39</f>
        <v>6</v>
      </c>
      <c r="G40" s="19"/>
      <c r="H40" s="19"/>
      <c r="I40" s="19"/>
      <c r="J40" s="19"/>
      <c r="K40" s="19"/>
      <c r="L40" s="19"/>
      <c r="M40" s="19"/>
      <c r="N40" s="20">
        <f>A41+N38-N39</f>
        <v>6</v>
      </c>
    </row>
    <row r="41" spans="1:15" x14ac:dyDescent="0.25">
      <c r="A41" s="6">
        <v>8</v>
      </c>
    </row>
    <row r="42" spans="1:15" x14ac:dyDescent="0.25">
      <c r="A42" s="4" t="s">
        <v>26</v>
      </c>
      <c r="B42" s="22">
        <f t="shared" ref="B42:M42" si="4">B39*100/B40</f>
        <v>50</v>
      </c>
      <c r="C42" s="22">
        <f t="shared" si="4"/>
        <v>28.571428571428573</v>
      </c>
      <c r="D42" s="22">
        <f t="shared" si="4"/>
        <v>14.285714285714286</v>
      </c>
      <c r="E42" s="22">
        <f t="shared" si="4"/>
        <v>33.333333333333336</v>
      </c>
      <c r="F42" s="22">
        <f t="shared" si="4"/>
        <v>50</v>
      </c>
      <c r="G42" s="22" t="e">
        <f t="shared" si="4"/>
        <v>#DIV/0!</v>
      </c>
      <c r="H42" s="22" t="e">
        <f t="shared" si="4"/>
        <v>#DIV/0!</v>
      </c>
      <c r="I42" s="22" t="e">
        <f t="shared" si="4"/>
        <v>#DIV/0!</v>
      </c>
      <c r="J42" s="22" t="e">
        <f t="shared" si="4"/>
        <v>#DIV/0!</v>
      </c>
      <c r="K42" s="22" t="e">
        <f t="shared" si="4"/>
        <v>#DIV/0!</v>
      </c>
      <c r="L42" s="22" t="e">
        <f t="shared" si="4"/>
        <v>#DIV/0!</v>
      </c>
      <c r="M42" s="22" t="e">
        <f t="shared" si="4"/>
        <v>#DIV/0!</v>
      </c>
      <c r="N42" s="23">
        <v>35.24</v>
      </c>
      <c r="O42" s="24" t="s">
        <v>27</v>
      </c>
    </row>
    <row r="43" spans="1:15" x14ac:dyDescent="0.25">
      <c r="N43" s="25">
        <f>N39*100/N40</f>
        <v>200</v>
      </c>
      <c r="O43" s="24" t="s">
        <v>28</v>
      </c>
    </row>
    <row r="44" spans="1:15" x14ac:dyDescent="0.25">
      <c r="F44" s="44" t="s">
        <v>4</v>
      </c>
      <c r="G44" s="44"/>
      <c r="H44" s="44"/>
      <c r="I44" s="44"/>
      <c r="J44" s="44"/>
    </row>
    <row r="45" spans="1:15" x14ac:dyDescent="0.25">
      <c r="B45" s="15" t="s">
        <v>10</v>
      </c>
      <c r="C45" s="15" t="s">
        <v>11</v>
      </c>
      <c r="D45" s="15" t="s">
        <v>12</v>
      </c>
      <c r="E45" s="15" t="s">
        <v>13</v>
      </c>
      <c r="F45" s="15" t="s">
        <v>14</v>
      </c>
      <c r="G45" s="15" t="s">
        <v>15</v>
      </c>
      <c r="H45" s="15" t="s">
        <v>16</v>
      </c>
      <c r="I45" s="15" t="s">
        <v>17</v>
      </c>
      <c r="J45" s="15" t="s">
        <v>18</v>
      </c>
      <c r="K45" s="15" t="s">
        <v>19</v>
      </c>
      <c r="L45" s="15" t="s">
        <v>20</v>
      </c>
      <c r="M45" s="15" t="s">
        <v>21</v>
      </c>
      <c r="N45" s="16" t="s">
        <v>22</v>
      </c>
    </row>
    <row r="46" spans="1:15" x14ac:dyDescent="0.25">
      <c r="A46" s="4" t="s">
        <v>23</v>
      </c>
      <c r="B46" s="19">
        <v>3</v>
      </c>
      <c r="C46" s="19">
        <v>2</v>
      </c>
      <c r="D46" s="19">
        <v>0</v>
      </c>
      <c r="E46" s="19">
        <v>2</v>
      </c>
      <c r="F46" s="19">
        <v>0</v>
      </c>
      <c r="G46" s="19"/>
      <c r="H46" s="19"/>
      <c r="I46" s="19"/>
      <c r="J46" s="19"/>
      <c r="K46" s="19"/>
      <c r="L46" s="19"/>
      <c r="M46" s="19"/>
      <c r="N46" s="20">
        <f>SUM(B46:M46)</f>
        <v>7</v>
      </c>
    </row>
    <row r="47" spans="1:15" x14ac:dyDescent="0.25">
      <c r="A47" s="4" t="s">
        <v>24</v>
      </c>
      <c r="B47" s="34">
        <v>3</v>
      </c>
      <c r="C47" s="34">
        <v>1</v>
      </c>
      <c r="D47" s="21">
        <v>3</v>
      </c>
      <c r="E47" s="21">
        <v>0</v>
      </c>
      <c r="F47" s="21">
        <v>0</v>
      </c>
      <c r="G47" s="21"/>
      <c r="H47" s="21"/>
      <c r="I47" s="21"/>
      <c r="J47" s="21"/>
      <c r="K47" s="21"/>
      <c r="L47" s="21"/>
      <c r="M47" s="21"/>
      <c r="N47" s="20">
        <f>SUM(B47:M47)</f>
        <v>7</v>
      </c>
    </row>
    <row r="48" spans="1:15" x14ac:dyDescent="0.25">
      <c r="A48" s="4" t="s">
        <v>25</v>
      </c>
      <c r="B48" s="19">
        <f>A49+B46-B47</f>
        <v>9</v>
      </c>
      <c r="C48" s="19">
        <f>B48+C46-C47</f>
        <v>10</v>
      </c>
      <c r="D48" s="19">
        <f>C48+D46-D47</f>
        <v>7</v>
      </c>
      <c r="E48" s="19">
        <f>D48+E46-E47</f>
        <v>9</v>
      </c>
      <c r="F48" s="19">
        <f>E48+F46-F47</f>
        <v>9</v>
      </c>
      <c r="G48" s="19"/>
      <c r="H48" s="19"/>
      <c r="I48" s="19"/>
      <c r="J48" s="19"/>
      <c r="K48" s="19"/>
      <c r="L48" s="19"/>
      <c r="M48" s="19"/>
      <c r="N48" s="20">
        <f>A49+N46-N47</f>
        <v>9</v>
      </c>
    </row>
    <row r="49" spans="1:15" x14ac:dyDescent="0.25">
      <c r="A49" s="6">
        <v>9</v>
      </c>
    </row>
    <row r="50" spans="1:15" x14ac:dyDescent="0.25">
      <c r="A50" s="4" t="s">
        <v>26</v>
      </c>
      <c r="B50" s="22">
        <f t="shared" ref="B50:M50" si="5">B47*100/B48</f>
        <v>33.333333333333336</v>
      </c>
      <c r="C50" s="22">
        <f t="shared" si="5"/>
        <v>10</v>
      </c>
      <c r="D50" s="22">
        <f t="shared" si="5"/>
        <v>42.857142857142854</v>
      </c>
      <c r="E50" s="22">
        <f t="shared" si="5"/>
        <v>0</v>
      </c>
      <c r="F50" s="22">
        <f t="shared" si="5"/>
        <v>0</v>
      </c>
      <c r="G50" s="22" t="e">
        <f t="shared" si="5"/>
        <v>#DIV/0!</v>
      </c>
      <c r="H50" s="22" t="e">
        <f t="shared" si="5"/>
        <v>#DIV/0!</v>
      </c>
      <c r="I50" s="22" t="e">
        <f t="shared" si="5"/>
        <v>#DIV/0!</v>
      </c>
      <c r="J50" s="22" t="e">
        <f t="shared" si="5"/>
        <v>#DIV/0!</v>
      </c>
      <c r="K50" s="22" t="e">
        <f t="shared" si="5"/>
        <v>#DIV/0!</v>
      </c>
      <c r="L50" s="22" t="e">
        <f t="shared" si="5"/>
        <v>#DIV/0!</v>
      </c>
      <c r="M50" s="22" t="e">
        <f t="shared" si="5"/>
        <v>#DIV/0!</v>
      </c>
      <c r="N50" s="23">
        <v>17.239999999999998</v>
      </c>
      <c r="O50" s="24" t="s">
        <v>27</v>
      </c>
    </row>
    <row r="51" spans="1:15" x14ac:dyDescent="0.25">
      <c r="N51" s="25">
        <f>N47*100/N48</f>
        <v>77.777777777777771</v>
      </c>
      <c r="O51" s="24" t="s">
        <v>28</v>
      </c>
    </row>
    <row r="52" spans="1:15" x14ac:dyDescent="0.25">
      <c r="H52" s="18"/>
      <c r="I52" s="18"/>
      <c r="J52" s="18"/>
      <c r="K52" s="18"/>
    </row>
    <row r="53" spans="1:15" x14ac:dyDescent="0.25">
      <c r="F53" s="44" t="s">
        <v>31</v>
      </c>
      <c r="G53" s="44"/>
      <c r="H53" s="44"/>
      <c r="I53" s="44"/>
      <c r="J53" s="44"/>
    </row>
    <row r="54" spans="1:15" x14ac:dyDescent="0.25">
      <c r="B54" s="15" t="s">
        <v>10</v>
      </c>
      <c r="C54" s="15" t="s">
        <v>11</v>
      </c>
      <c r="D54" s="15" t="s">
        <v>12</v>
      </c>
      <c r="E54" s="15" t="s">
        <v>13</v>
      </c>
      <c r="F54" s="15" t="s">
        <v>14</v>
      </c>
      <c r="G54" s="15" t="s">
        <v>15</v>
      </c>
      <c r="H54" s="15" t="s">
        <v>16</v>
      </c>
      <c r="I54" s="15" t="s">
        <v>17</v>
      </c>
      <c r="J54" s="15" t="s">
        <v>18</v>
      </c>
      <c r="K54" s="15" t="s">
        <v>19</v>
      </c>
      <c r="L54" s="15" t="s">
        <v>20</v>
      </c>
      <c r="M54" s="15" t="s">
        <v>21</v>
      </c>
      <c r="N54" s="16" t="s">
        <v>22</v>
      </c>
    </row>
    <row r="55" spans="1:15" x14ac:dyDescent="0.25">
      <c r="A55" s="4" t="s">
        <v>23</v>
      </c>
      <c r="B55" s="19">
        <v>1</v>
      </c>
      <c r="C55" s="19">
        <v>1</v>
      </c>
      <c r="D55" s="19">
        <v>0</v>
      </c>
      <c r="E55" s="19">
        <v>1</v>
      </c>
      <c r="F55" s="19">
        <v>1</v>
      </c>
      <c r="G55" s="19"/>
      <c r="H55" s="19"/>
      <c r="I55" s="19"/>
      <c r="J55" s="19"/>
      <c r="K55" s="19"/>
      <c r="L55" s="19"/>
      <c r="M55" s="19"/>
      <c r="N55" s="20">
        <f>SUM(B55:M55)</f>
        <v>4</v>
      </c>
    </row>
    <row r="56" spans="1:15" x14ac:dyDescent="0.25">
      <c r="A56" s="4" t="s">
        <v>24</v>
      </c>
      <c r="B56" s="21">
        <v>1</v>
      </c>
      <c r="C56" s="34">
        <v>0</v>
      </c>
      <c r="D56" s="21">
        <v>1</v>
      </c>
      <c r="E56" s="21">
        <v>1</v>
      </c>
      <c r="F56" s="21">
        <v>0</v>
      </c>
      <c r="G56" s="21"/>
      <c r="H56" s="21"/>
      <c r="I56" s="21"/>
      <c r="J56" s="21"/>
      <c r="K56" s="21"/>
      <c r="L56" s="21"/>
      <c r="M56" s="21"/>
      <c r="N56" s="20">
        <f>SUM(B56:M56)</f>
        <v>3</v>
      </c>
    </row>
    <row r="57" spans="1:15" x14ac:dyDescent="0.25">
      <c r="A57" s="4" t="s">
        <v>25</v>
      </c>
      <c r="B57" s="19">
        <f>A58+B55-B56</f>
        <v>5</v>
      </c>
      <c r="C57" s="19">
        <f>B57+C55-C56</f>
        <v>6</v>
      </c>
      <c r="D57" s="19">
        <f>C57+D55-D56</f>
        <v>5</v>
      </c>
      <c r="E57" s="19">
        <f>D57+E55-E56</f>
        <v>5</v>
      </c>
      <c r="F57" s="19">
        <f>E57+F55-F56</f>
        <v>6</v>
      </c>
      <c r="G57" s="19"/>
      <c r="H57" s="19"/>
      <c r="I57" s="19"/>
      <c r="J57" s="19"/>
      <c r="K57" s="19"/>
      <c r="L57" s="19"/>
      <c r="M57" s="19"/>
      <c r="N57" s="20">
        <f>A58+N55-N56</f>
        <v>6</v>
      </c>
    </row>
    <row r="58" spans="1:15" x14ac:dyDescent="0.25">
      <c r="A58" s="6">
        <v>5</v>
      </c>
    </row>
    <row r="59" spans="1:15" x14ac:dyDescent="0.25">
      <c r="A59" s="4" t="s">
        <v>26</v>
      </c>
      <c r="B59" s="22">
        <f t="shared" ref="B59:M59" si="6">B56*100/B57</f>
        <v>20</v>
      </c>
      <c r="C59" s="22">
        <f t="shared" si="6"/>
        <v>0</v>
      </c>
      <c r="D59" s="22">
        <f t="shared" si="6"/>
        <v>20</v>
      </c>
      <c r="E59" s="22">
        <f t="shared" si="6"/>
        <v>20</v>
      </c>
      <c r="F59" s="22">
        <f t="shared" si="6"/>
        <v>0</v>
      </c>
      <c r="G59" s="22" t="e">
        <f t="shared" si="6"/>
        <v>#DIV/0!</v>
      </c>
      <c r="H59" s="22" t="e">
        <f t="shared" si="6"/>
        <v>#DIV/0!</v>
      </c>
      <c r="I59" s="22" t="e">
        <f t="shared" si="6"/>
        <v>#DIV/0!</v>
      </c>
      <c r="J59" s="22" t="e">
        <f t="shared" si="6"/>
        <v>#DIV/0!</v>
      </c>
      <c r="K59" s="22" t="e">
        <f t="shared" si="6"/>
        <v>#DIV/0!</v>
      </c>
      <c r="L59" s="22" t="e">
        <f t="shared" si="6"/>
        <v>#DIV/0!</v>
      </c>
      <c r="M59" s="22" t="e">
        <f t="shared" si="6"/>
        <v>#DIV/0!</v>
      </c>
      <c r="N59" s="23">
        <v>12</v>
      </c>
      <c r="O59" s="24" t="s">
        <v>27</v>
      </c>
    </row>
    <row r="60" spans="1:15" x14ac:dyDescent="0.25">
      <c r="N60" s="25">
        <f>N56*100/N57</f>
        <v>50</v>
      </c>
      <c r="O60" s="24" t="s">
        <v>28</v>
      </c>
    </row>
    <row r="61" spans="1:15" x14ac:dyDescent="0.25">
      <c r="H61" s="18"/>
      <c r="I61" s="18"/>
      <c r="J61" s="18"/>
      <c r="K61" s="18"/>
    </row>
    <row r="62" spans="1:15" x14ac:dyDescent="0.25">
      <c r="F62" s="44" t="s">
        <v>5</v>
      </c>
      <c r="G62" s="44"/>
      <c r="H62" s="44"/>
      <c r="I62" s="44"/>
      <c r="J62" s="44"/>
    </row>
    <row r="63" spans="1:15" x14ac:dyDescent="0.25">
      <c r="B63" s="15" t="s">
        <v>10</v>
      </c>
      <c r="C63" s="15" t="s">
        <v>11</v>
      </c>
      <c r="D63" s="15" t="s">
        <v>12</v>
      </c>
      <c r="E63" s="15" t="s">
        <v>13</v>
      </c>
      <c r="F63" s="15" t="s">
        <v>14</v>
      </c>
      <c r="G63" s="15" t="s">
        <v>15</v>
      </c>
      <c r="H63" s="15" t="s">
        <v>16</v>
      </c>
      <c r="I63" s="15" t="s">
        <v>17</v>
      </c>
      <c r="J63" s="15" t="s">
        <v>18</v>
      </c>
      <c r="K63" s="15" t="s">
        <v>19</v>
      </c>
      <c r="L63" s="15" t="s">
        <v>20</v>
      </c>
      <c r="M63" s="15" t="s">
        <v>21</v>
      </c>
      <c r="N63" s="16" t="s">
        <v>22</v>
      </c>
    </row>
    <row r="64" spans="1:15" x14ac:dyDescent="0.25">
      <c r="A64" s="4" t="s">
        <v>23</v>
      </c>
      <c r="B64" s="19">
        <v>0</v>
      </c>
      <c r="C64" s="19">
        <v>1</v>
      </c>
      <c r="D64" s="19">
        <v>1</v>
      </c>
      <c r="E64" s="19">
        <v>1</v>
      </c>
      <c r="F64" s="19">
        <v>0</v>
      </c>
      <c r="G64" s="19"/>
      <c r="H64" s="19"/>
      <c r="I64" s="19"/>
      <c r="J64" s="19"/>
      <c r="K64" s="19"/>
      <c r="L64" s="19"/>
      <c r="M64" s="19"/>
      <c r="N64" s="20">
        <f>SUM(B64:M64)</f>
        <v>3</v>
      </c>
    </row>
    <row r="65" spans="1:15" x14ac:dyDescent="0.25">
      <c r="A65" s="4" t="s">
        <v>24</v>
      </c>
      <c r="B65" s="34">
        <v>0</v>
      </c>
      <c r="C65" s="34">
        <v>1</v>
      </c>
      <c r="D65" s="21">
        <v>2</v>
      </c>
      <c r="E65" s="21">
        <v>0</v>
      </c>
      <c r="F65" s="21">
        <v>0</v>
      </c>
      <c r="G65" s="21"/>
      <c r="H65" s="21"/>
      <c r="I65" s="21"/>
      <c r="J65" s="21"/>
      <c r="K65" s="21"/>
      <c r="L65" s="21"/>
      <c r="M65" s="21"/>
      <c r="N65" s="20">
        <f>SUM(B65:M65)</f>
        <v>3</v>
      </c>
    </row>
    <row r="66" spans="1:15" x14ac:dyDescent="0.25">
      <c r="A66" s="4" t="s">
        <v>25</v>
      </c>
      <c r="B66" s="19">
        <f>A67+B64-B65</f>
        <v>7</v>
      </c>
      <c r="C66" s="19">
        <f>B66+C64-C65</f>
        <v>7</v>
      </c>
      <c r="D66" s="19">
        <f>C66+D64-D65</f>
        <v>6</v>
      </c>
      <c r="E66" s="19">
        <f>D66+E64-E65</f>
        <v>7</v>
      </c>
      <c r="F66" s="19">
        <f>E66+F64-F65</f>
        <v>7</v>
      </c>
      <c r="G66" s="19"/>
      <c r="H66" s="19"/>
      <c r="I66" s="19"/>
      <c r="J66" s="19"/>
      <c r="K66" s="19"/>
      <c r="L66" s="19"/>
      <c r="M66" s="19"/>
      <c r="N66" s="20">
        <f>A67+N64-N65</f>
        <v>7</v>
      </c>
    </row>
    <row r="67" spans="1:15" x14ac:dyDescent="0.25">
      <c r="A67" s="6">
        <v>7</v>
      </c>
    </row>
    <row r="68" spans="1:15" x14ac:dyDescent="0.25">
      <c r="A68" s="4" t="s">
        <v>26</v>
      </c>
      <c r="B68" s="22">
        <f t="shared" ref="B68:M68" si="7">B65*100/B66</f>
        <v>0</v>
      </c>
      <c r="C68" s="22">
        <f t="shared" si="7"/>
        <v>14.285714285714286</v>
      </c>
      <c r="D68" s="22">
        <f t="shared" si="7"/>
        <v>33.333333333333336</v>
      </c>
      <c r="E68" s="22">
        <f t="shared" si="7"/>
        <v>0</v>
      </c>
      <c r="F68" s="22">
        <f t="shared" si="7"/>
        <v>0</v>
      </c>
      <c r="G68" s="22" t="e">
        <f t="shared" si="7"/>
        <v>#DIV/0!</v>
      </c>
      <c r="H68" s="22" t="e">
        <f t="shared" si="7"/>
        <v>#DIV/0!</v>
      </c>
      <c r="I68" s="22" t="e">
        <f t="shared" si="7"/>
        <v>#DIV/0!</v>
      </c>
      <c r="J68" s="22" t="e">
        <f t="shared" si="7"/>
        <v>#DIV/0!</v>
      </c>
      <c r="K68" s="22" t="e">
        <f t="shared" si="7"/>
        <v>#DIV/0!</v>
      </c>
      <c r="L68" s="22" t="e">
        <f t="shared" si="7"/>
        <v>#DIV/0!</v>
      </c>
      <c r="M68" s="22" t="e">
        <f t="shared" si="7"/>
        <v>#DIV/0!</v>
      </c>
      <c r="N68" s="23">
        <v>9.52</v>
      </c>
      <c r="O68" s="24" t="s">
        <v>27</v>
      </c>
    </row>
    <row r="69" spans="1:15" x14ac:dyDescent="0.25">
      <c r="N69" s="25">
        <f>N65*100/N66</f>
        <v>42.857142857142854</v>
      </c>
      <c r="O69" s="24" t="s">
        <v>28</v>
      </c>
    </row>
    <row r="70" spans="1:15" x14ac:dyDescent="0.25">
      <c r="F70" s="44" t="s">
        <v>2</v>
      </c>
      <c r="G70" s="44"/>
      <c r="H70" s="44"/>
      <c r="I70" s="44"/>
      <c r="J70" s="44"/>
    </row>
    <row r="71" spans="1:15" x14ac:dyDescent="0.25">
      <c r="B71" s="15" t="s">
        <v>10</v>
      </c>
      <c r="C71" s="15" t="s">
        <v>11</v>
      </c>
      <c r="D71" s="15" t="s">
        <v>12</v>
      </c>
      <c r="E71" s="15" t="s">
        <v>13</v>
      </c>
      <c r="F71" s="15" t="s">
        <v>14</v>
      </c>
      <c r="G71" s="15" t="s">
        <v>15</v>
      </c>
      <c r="H71" s="15" t="s">
        <v>16</v>
      </c>
      <c r="I71" s="15" t="s">
        <v>17</v>
      </c>
      <c r="J71" s="15" t="s">
        <v>18</v>
      </c>
      <c r="K71" s="15" t="s">
        <v>19</v>
      </c>
      <c r="L71" s="15" t="s">
        <v>20</v>
      </c>
      <c r="M71" s="15" t="s">
        <v>21</v>
      </c>
      <c r="N71" s="16" t="s">
        <v>22</v>
      </c>
    </row>
    <row r="72" spans="1:15" x14ac:dyDescent="0.25">
      <c r="A72" s="4" t="s">
        <v>23</v>
      </c>
      <c r="B72" s="19">
        <v>1</v>
      </c>
      <c r="C72" s="19">
        <v>1</v>
      </c>
      <c r="D72" s="19">
        <v>2</v>
      </c>
      <c r="E72" s="19">
        <v>1</v>
      </c>
      <c r="F72" s="19">
        <v>0</v>
      </c>
      <c r="G72" s="19"/>
      <c r="H72" s="19"/>
      <c r="I72" s="19"/>
      <c r="J72" s="19"/>
      <c r="K72" s="19"/>
      <c r="L72" s="19"/>
      <c r="M72" s="19"/>
      <c r="N72" s="20">
        <f>SUM(B72:M72)</f>
        <v>5</v>
      </c>
    </row>
    <row r="73" spans="1:15" x14ac:dyDescent="0.25">
      <c r="A73" s="4" t="s">
        <v>24</v>
      </c>
      <c r="B73" s="34">
        <v>1</v>
      </c>
      <c r="C73" s="34">
        <v>3</v>
      </c>
      <c r="D73" s="21">
        <v>1</v>
      </c>
      <c r="E73" s="21">
        <v>0</v>
      </c>
      <c r="F73" s="21">
        <v>0</v>
      </c>
      <c r="G73" s="21"/>
      <c r="H73" s="21"/>
      <c r="I73" s="21"/>
      <c r="J73" s="21"/>
      <c r="K73" s="21"/>
      <c r="L73" s="21"/>
      <c r="M73" s="21"/>
      <c r="N73" s="20">
        <f>SUM(B73:M73)</f>
        <v>5</v>
      </c>
    </row>
    <row r="74" spans="1:15" x14ac:dyDescent="0.25">
      <c r="A74" s="4" t="s">
        <v>25</v>
      </c>
      <c r="B74" s="19">
        <f>A75+B72-B73</f>
        <v>21</v>
      </c>
      <c r="C74" s="19">
        <f>B74+C72-C73</f>
        <v>19</v>
      </c>
      <c r="D74" s="19">
        <f>C74+D72-D73</f>
        <v>20</v>
      </c>
      <c r="E74" s="19">
        <f>D74+E72-E73</f>
        <v>21</v>
      </c>
      <c r="F74" s="19">
        <f>E74+F72-F73</f>
        <v>21</v>
      </c>
      <c r="G74" s="19"/>
      <c r="H74" s="19"/>
      <c r="I74" s="19"/>
      <c r="J74" s="19"/>
      <c r="K74" s="19"/>
      <c r="L74" s="19"/>
      <c r="M74" s="19"/>
      <c r="N74" s="20">
        <f>A75+N72-N73</f>
        <v>21</v>
      </c>
    </row>
    <row r="75" spans="1:15" x14ac:dyDescent="0.25">
      <c r="A75" s="6">
        <v>21</v>
      </c>
    </row>
    <row r="76" spans="1:15" x14ac:dyDescent="0.25">
      <c r="A76" s="4" t="s">
        <v>26</v>
      </c>
      <c r="B76" s="22">
        <f t="shared" ref="B76:M76" si="8">B73*100/B74</f>
        <v>4.7619047619047619</v>
      </c>
      <c r="C76" s="22">
        <f t="shared" si="8"/>
        <v>15.789473684210526</v>
      </c>
      <c r="D76" s="22">
        <f t="shared" si="8"/>
        <v>5</v>
      </c>
      <c r="E76" s="22">
        <f t="shared" si="8"/>
        <v>0</v>
      </c>
      <c r="F76" s="22">
        <f t="shared" si="8"/>
        <v>0</v>
      </c>
      <c r="G76" s="22" t="e">
        <f t="shared" si="8"/>
        <v>#DIV/0!</v>
      </c>
      <c r="H76" s="22" t="e">
        <f t="shared" si="8"/>
        <v>#DIV/0!</v>
      </c>
      <c r="I76" s="22" t="e">
        <f t="shared" si="8"/>
        <v>#DIV/0!</v>
      </c>
      <c r="J76" s="22" t="e">
        <f t="shared" si="8"/>
        <v>#DIV/0!</v>
      </c>
      <c r="K76" s="22" t="e">
        <f t="shared" si="8"/>
        <v>#DIV/0!</v>
      </c>
      <c r="L76" s="22" t="e">
        <f t="shared" si="8"/>
        <v>#DIV/0!</v>
      </c>
      <c r="M76" s="22" t="e">
        <f t="shared" si="8"/>
        <v>#DIV/0!</v>
      </c>
      <c r="N76" s="23">
        <v>5.1100000000000003</v>
      </c>
      <c r="O76" s="24" t="s">
        <v>27</v>
      </c>
    </row>
    <row r="77" spans="1:15" x14ac:dyDescent="0.25">
      <c r="N77" s="25">
        <f>N73*100/N74</f>
        <v>23.80952380952381</v>
      </c>
      <c r="O77" s="24" t="s">
        <v>28</v>
      </c>
    </row>
    <row r="78" spans="1:15" x14ac:dyDescent="0.25">
      <c r="H78" s="18"/>
      <c r="I78" s="18"/>
      <c r="J78" s="18"/>
      <c r="K78" s="18"/>
    </row>
    <row r="79" spans="1:15" x14ac:dyDescent="0.25">
      <c r="H79" s="18"/>
      <c r="I79" s="18"/>
      <c r="J79" s="18"/>
      <c r="K79" s="18"/>
    </row>
    <row r="80" spans="1:15" x14ac:dyDescent="0.25">
      <c r="F80" s="44" t="s">
        <v>34</v>
      </c>
      <c r="G80" s="44"/>
      <c r="H80" s="44"/>
      <c r="I80" s="44"/>
      <c r="J80" s="44"/>
    </row>
    <row r="81" spans="1:15" x14ac:dyDescent="0.25">
      <c r="B81" s="15" t="s">
        <v>10</v>
      </c>
      <c r="C81" s="15" t="s">
        <v>11</v>
      </c>
      <c r="D81" s="15" t="s">
        <v>12</v>
      </c>
      <c r="E81" s="15" t="s">
        <v>13</v>
      </c>
      <c r="F81" s="15" t="s">
        <v>14</v>
      </c>
      <c r="G81" s="15" t="s">
        <v>15</v>
      </c>
      <c r="H81" s="15" t="s">
        <v>16</v>
      </c>
      <c r="I81" s="15" t="s">
        <v>17</v>
      </c>
      <c r="J81" s="15" t="s">
        <v>18</v>
      </c>
      <c r="K81" s="15" t="s">
        <v>19</v>
      </c>
      <c r="L81" s="15" t="s">
        <v>20</v>
      </c>
      <c r="M81" s="15" t="s">
        <v>21</v>
      </c>
      <c r="N81" s="16" t="s">
        <v>22</v>
      </c>
    </row>
    <row r="82" spans="1:15" x14ac:dyDescent="0.25">
      <c r="A82" s="4" t="s">
        <v>23</v>
      </c>
      <c r="B82" s="19">
        <v>1</v>
      </c>
      <c r="C82" s="19">
        <v>0</v>
      </c>
      <c r="D82" s="19">
        <v>0</v>
      </c>
      <c r="E82" s="19">
        <v>1</v>
      </c>
      <c r="F82" s="19">
        <v>1</v>
      </c>
      <c r="G82" s="19"/>
      <c r="H82" s="19"/>
      <c r="I82" s="19"/>
      <c r="J82" s="19"/>
      <c r="K82" s="19"/>
      <c r="L82" s="19"/>
      <c r="M82" s="19"/>
      <c r="N82" s="20">
        <f>SUM(B82:M82)</f>
        <v>3</v>
      </c>
    </row>
    <row r="83" spans="1:15" x14ac:dyDescent="0.25">
      <c r="A83" s="4" t="s">
        <v>24</v>
      </c>
      <c r="B83" s="34">
        <v>0</v>
      </c>
      <c r="C83" s="34">
        <v>0</v>
      </c>
      <c r="D83" s="21">
        <v>1</v>
      </c>
      <c r="E83" s="21">
        <v>1</v>
      </c>
      <c r="F83" s="21">
        <v>0</v>
      </c>
      <c r="G83" s="21"/>
      <c r="H83" s="21"/>
      <c r="I83" s="21"/>
      <c r="J83" s="21"/>
      <c r="K83" s="21"/>
      <c r="L83" s="21"/>
      <c r="M83" s="21"/>
      <c r="N83" s="20">
        <f>SUM(B83:M83)</f>
        <v>2</v>
      </c>
    </row>
    <row r="84" spans="1:15" x14ac:dyDescent="0.25">
      <c r="A84" s="4" t="s">
        <v>25</v>
      </c>
      <c r="B84" s="19">
        <f>A85+B82-B83</f>
        <v>9</v>
      </c>
      <c r="C84" s="19">
        <f>B84+C82-C83</f>
        <v>9</v>
      </c>
      <c r="D84" s="19">
        <f>C84+D82-D83</f>
        <v>8</v>
      </c>
      <c r="E84" s="19">
        <f>D84+E82-E83</f>
        <v>8</v>
      </c>
      <c r="F84" s="19">
        <f>E84+F82-F83</f>
        <v>9</v>
      </c>
      <c r="G84" s="19"/>
      <c r="H84" s="19"/>
      <c r="I84" s="19"/>
      <c r="J84" s="19"/>
      <c r="K84" s="19"/>
      <c r="L84" s="19"/>
      <c r="M84" s="19"/>
      <c r="N84" s="20">
        <f>A85+N82-N83</f>
        <v>9</v>
      </c>
    </row>
    <row r="85" spans="1:15" x14ac:dyDescent="0.25">
      <c r="A85" s="6">
        <v>8</v>
      </c>
    </row>
    <row r="86" spans="1:15" x14ac:dyDescent="0.25">
      <c r="A86" s="4" t="s">
        <v>26</v>
      </c>
      <c r="B86" s="22">
        <f t="shared" ref="B86:M86" si="9">B83*100/B84</f>
        <v>0</v>
      </c>
      <c r="C86" s="22">
        <f t="shared" si="9"/>
        <v>0</v>
      </c>
      <c r="D86" s="22">
        <f t="shared" si="9"/>
        <v>12.5</v>
      </c>
      <c r="E86" s="22">
        <f t="shared" si="9"/>
        <v>12.5</v>
      </c>
      <c r="F86" s="22">
        <f t="shared" si="9"/>
        <v>0</v>
      </c>
      <c r="G86" s="22" t="e">
        <f t="shared" si="9"/>
        <v>#DIV/0!</v>
      </c>
      <c r="H86" s="22" t="e">
        <f t="shared" si="9"/>
        <v>#DIV/0!</v>
      </c>
      <c r="I86" s="22" t="e">
        <f t="shared" si="9"/>
        <v>#DIV/0!</v>
      </c>
      <c r="J86" s="22" t="e">
        <f t="shared" si="9"/>
        <v>#DIV/0!</v>
      </c>
      <c r="K86" s="22" t="e">
        <f t="shared" si="9"/>
        <v>#DIV/0!</v>
      </c>
      <c r="L86" s="22" t="e">
        <f t="shared" si="9"/>
        <v>#DIV/0!</v>
      </c>
      <c r="M86" s="22" t="e">
        <f t="shared" si="9"/>
        <v>#DIV/0!</v>
      </c>
      <c r="N86" s="23">
        <v>5</v>
      </c>
      <c r="O86" s="24" t="s">
        <v>27</v>
      </c>
    </row>
    <row r="87" spans="1:15" x14ac:dyDescent="0.25">
      <c r="N87" s="25">
        <f>N83*100/N84</f>
        <v>22.222222222222221</v>
      </c>
      <c r="O87" s="24" t="s">
        <v>28</v>
      </c>
    </row>
    <row r="88" spans="1:15" x14ac:dyDescent="0.25">
      <c r="N88" s="26"/>
      <c r="O88" s="24"/>
    </row>
    <row r="89" spans="1:15" x14ac:dyDescent="0.25">
      <c r="N89" s="26"/>
      <c r="O89" s="24"/>
    </row>
    <row r="90" spans="1:15" x14ac:dyDescent="0.25">
      <c r="N90" s="26"/>
      <c r="O90" s="24"/>
    </row>
    <row r="91" spans="1:15" x14ac:dyDescent="0.25">
      <c r="F91" s="44" t="s">
        <v>35</v>
      </c>
      <c r="G91" s="44"/>
      <c r="H91" s="44"/>
      <c r="I91" s="44"/>
      <c r="J91" s="44"/>
    </row>
    <row r="92" spans="1:15" x14ac:dyDescent="0.25">
      <c r="B92" s="15" t="s">
        <v>10</v>
      </c>
      <c r="C92" s="15" t="s">
        <v>11</v>
      </c>
      <c r="D92" s="15" t="s">
        <v>12</v>
      </c>
      <c r="E92" s="15" t="s">
        <v>13</v>
      </c>
      <c r="F92" s="15" t="s">
        <v>14</v>
      </c>
      <c r="G92" s="15" t="s">
        <v>15</v>
      </c>
      <c r="H92" s="15" t="s">
        <v>16</v>
      </c>
      <c r="I92" s="15" t="s">
        <v>17</v>
      </c>
      <c r="J92" s="15" t="s">
        <v>18</v>
      </c>
      <c r="K92" s="15" t="s">
        <v>19</v>
      </c>
      <c r="L92" s="15" t="s">
        <v>20</v>
      </c>
      <c r="M92" s="15" t="s">
        <v>21</v>
      </c>
      <c r="N92" s="16" t="s">
        <v>22</v>
      </c>
    </row>
    <row r="93" spans="1:15" x14ac:dyDescent="0.25">
      <c r="A93" s="4" t="s">
        <v>23</v>
      </c>
      <c r="B93" s="19">
        <v>1</v>
      </c>
      <c r="C93" s="19">
        <v>1</v>
      </c>
      <c r="D93" s="19">
        <v>0</v>
      </c>
      <c r="E93" s="19">
        <v>0</v>
      </c>
      <c r="F93" s="19">
        <v>0</v>
      </c>
      <c r="G93" s="19"/>
      <c r="H93" s="19"/>
      <c r="I93" s="19"/>
      <c r="J93" s="19"/>
      <c r="K93" s="19"/>
      <c r="L93" s="19"/>
      <c r="M93" s="19"/>
      <c r="N93" s="20">
        <f>SUM(B93:M93)</f>
        <v>2</v>
      </c>
    </row>
    <row r="94" spans="1:15" x14ac:dyDescent="0.25">
      <c r="A94" s="4" t="s">
        <v>24</v>
      </c>
      <c r="B94" s="34">
        <v>3</v>
      </c>
      <c r="C94" s="34">
        <v>0</v>
      </c>
      <c r="D94" s="21">
        <v>1</v>
      </c>
      <c r="E94" s="21">
        <v>1</v>
      </c>
      <c r="F94" s="21">
        <v>4</v>
      </c>
      <c r="G94" s="21"/>
      <c r="H94" s="21"/>
      <c r="I94" s="21"/>
      <c r="J94" s="21"/>
      <c r="K94" s="21"/>
      <c r="L94" s="21"/>
      <c r="M94" s="21"/>
      <c r="N94" s="20">
        <f>SUM(B94:M94)</f>
        <v>9</v>
      </c>
    </row>
    <row r="95" spans="1:15" x14ac:dyDescent="0.25">
      <c r="A95" s="4" t="s">
        <v>25</v>
      </c>
      <c r="B95" s="19">
        <f>A96+B93-B94</f>
        <v>10</v>
      </c>
      <c r="C95" s="19">
        <f>B95+C93-C94</f>
        <v>11</v>
      </c>
      <c r="D95" s="19">
        <f>C95+D93-D94</f>
        <v>10</v>
      </c>
      <c r="E95" s="19">
        <f>D95+E93-E94</f>
        <v>9</v>
      </c>
      <c r="F95" s="19">
        <f>E95+F93-F94</f>
        <v>5</v>
      </c>
      <c r="G95" s="19"/>
      <c r="H95" s="19"/>
      <c r="I95" s="19"/>
      <c r="J95" s="19"/>
      <c r="K95" s="19"/>
      <c r="L95" s="19"/>
      <c r="M95" s="19"/>
      <c r="N95" s="20">
        <f>A96+N93-N94</f>
        <v>5</v>
      </c>
    </row>
    <row r="96" spans="1:15" x14ac:dyDescent="0.25">
      <c r="A96" s="6">
        <v>12</v>
      </c>
    </row>
    <row r="97" spans="1:15" x14ac:dyDescent="0.25">
      <c r="A97" s="4" t="s">
        <v>26</v>
      </c>
      <c r="B97" s="22">
        <f t="shared" ref="B97:M97" si="10">B94*100/B95</f>
        <v>30</v>
      </c>
      <c r="C97" s="22">
        <f t="shared" si="10"/>
        <v>0</v>
      </c>
      <c r="D97" s="22">
        <f t="shared" si="10"/>
        <v>10</v>
      </c>
      <c r="E97" s="22">
        <f t="shared" si="10"/>
        <v>11.111111111111111</v>
      </c>
      <c r="F97" s="22">
        <f t="shared" si="10"/>
        <v>80</v>
      </c>
      <c r="G97" s="22" t="e">
        <f t="shared" si="10"/>
        <v>#DIV/0!</v>
      </c>
      <c r="H97" s="22" t="e">
        <f t="shared" si="10"/>
        <v>#DIV/0!</v>
      </c>
      <c r="I97" s="22" t="e">
        <f t="shared" si="10"/>
        <v>#DIV/0!</v>
      </c>
      <c r="J97" s="22" t="e">
        <f t="shared" si="10"/>
        <v>#DIV/0!</v>
      </c>
      <c r="K97" s="22" t="e">
        <f t="shared" si="10"/>
        <v>#DIV/0!</v>
      </c>
      <c r="L97" s="22" t="e">
        <f t="shared" si="10"/>
        <v>#DIV/0!</v>
      </c>
      <c r="M97" s="22" t="e">
        <f t="shared" si="10"/>
        <v>#DIV/0!</v>
      </c>
      <c r="N97" s="23">
        <v>26.22</v>
      </c>
      <c r="O97" s="24" t="s">
        <v>27</v>
      </c>
    </row>
    <row r="98" spans="1:15" x14ac:dyDescent="0.25">
      <c r="N98" s="25">
        <f>N94*100/N95</f>
        <v>180</v>
      </c>
      <c r="O98" s="24" t="s">
        <v>28</v>
      </c>
    </row>
    <row r="100" spans="1:15" x14ac:dyDescent="0.25">
      <c r="H100" s="18"/>
      <c r="I100" s="18"/>
      <c r="J100" s="18"/>
      <c r="K100" s="18"/>
    </row>
    <row r="101" spans="1:15" x14ac:dyDescent="0.25">
      <c r="F101" s="44" t="s">
        <v>32</v>
      </c>
      <c r="G101" s="44"/>
      <c r="H101" s="44"/>
      <c r="I101" s="44"/>
      <c r="J101" s="44"/>
    </row>
    <row r="102" spans="1:15" x14ac:dyDescent="0.25">
      <c r="B102" s="15" t="s">
        <v>10</v>
      </c>
      <c r="C102" s="15" t="s">
        <v>11</v>
      </c>
      <c r="D102" s="15" t="s">
        <v>12</v>
      </c>
      <c r="E102" s="15" t="s">
        <v>13</v>
      </c>
      <c r="F102" s="15" t="s">
        <v>14</v>
      </c>
      <c r="G102" s="15" t="s">
        <v>15</v>
      </c>
      <c r="H102" s="15" t="s">
        <v>16</v>
      </c>
      <c r="I102" s="15" t="s">
        <v>17</v>
      </c>
      <c r="J102" s="15" t="s">
        <v>18</v>
      </c>
      <c r="K102" s="15" t="s">
        <v>19</v>
      </c>
      <c r="L102" s="15" t="s">
        <v>20</v>
      </c>
      <c r="M102" s="15" t="s">
        <v>21</v>
      </c>
      <c r="N102" s="16" t="s">
        <v>22</v>
      </c>
    </row>
    <row r="103" spans="1:15" x14ac:dyDescent="0.25">
      <c r="A103" s="4" t="s">
        <v>23</v>
      </c>
      <c r="B103" s="19">
        <v>0</v>
      </c>
      <c r="C103" s="19">
        <v>0</v>
      </c>
      <c r="D103" s="19">
        <v>0</v>
      </c>
      <c r="E103" s="19">
        <v>1</v>
      </c>
      <c r="F103" s="19">
        <v>0</v>
      </c>
      <c r="G103" s="19"/>
      <c r="H103" s="19"/>
      <c r="I103" s="19"/>
      <c r="J103" s="19"/>
      <c r="K103" s="19"/>
      <c r="L103" s="19"/>
      <c r="M103" s="19"/>
      <c r="N103" s="20">
        <f>SUM(B103:M103)</f>
        <v>1</v>
      </c>
    </row>
    <row r="104" spans="1:15" x14ac:dyDescent="0.25">
      <c r="A104" s="4" t="s">
        <v>24</v>
      </c>
      <c r="B104" s="34">
        <v>0</v>
      </c>
      <c r="C104" s="34">
        <v>0</v>
      </c>
      <c r="D104" s="21">
        <v>0</v>
      </c>
      <c r="E104" s="21">
        <v>1</v>
      </c>
      <c r="F104" s="21">
        <v>0</v>
      </c>
      <c r="G104" s="21"/>
      <c r="H104" s="21"/>
      <c r="I104" s="21"/>
      <c r="J104" s="21"/>
      <c r="K104" s="21"/>
      <c r="L104" s="21"/>
      <c r="M104" s="21"/>
      <c r="N104" s="20">
        <f>SUM(B104:M104)</f>
        <v>1</v>
      </c>
    </row>
    <row r="105" spans="1:15" x14ac:dyDescent="0.25">
      <c r="A105" s="4" t="s">
        <v>25</v>
      </c>
      <c r="B105" s="19">
        <f>A106+B103-B104</f>
        <v>10</v>
      </c>
      <c r="C105" s="19">
        <f>B105+C103-C104</f>
        <v>10</v>
      </c>
      <c r="D105" s="19">
        <f>C105+D103-D104</f>
        <v>10</v>
      </c>
      <c r="E105" s="19">
        <f>D105+E103-E104</f>
        <v>10</v>
      </c>
      <c r="F105" s="19">
        <f>E105+F103-F104</f>
        <v>10</v>
      </c>
      <c r="G105" s="19"/>
      <c r="H105" s="19"/>
      <c r="I105" s="19"/>
      <c r="J105" s="19"/>
      <c r="K105" s="19"/>
      <c r="L105" s="19"/>
      <c r="M105" s="19"/>
      <c r="N105" s="20">
        <f>A106+N103-N104</f>
        <v>10</v>
      </c>
    </row>
    <row r="106" spans="1:15" x14ac:dyDescent="0.25">
      <c r="A106" s="6">
        <v>10</v>
      </c>
    </row>
    <row r="107" spans="1:15" x14ac:dyDescent="0.25">
      <c r="A107" s="4" t="s">
        <v>26</v>
      </c>
      <c r="B107" s="22">
        <f t="shared" ref="B107:M107" si="11">B104*100/B105</f>
        <v>0</v>
      </c>
      <c r="C107" s="22">
        <f t="shared" si="11"/>
        <v>0</v>
      </c>
      <c r="D107" s="22">
        <f t="shared" si="11"/>
        <v>0</v>
      </c>
      <c r="E107" s="22">
        <f t="shared" si="11"/>
        <v>10</v>
      </c>
      <c r="F107" s="22">
        <f t="shared" si="11"/>
        <v>0</v>
      </c>
      <c r="G107" s="22" t="e">
        <f t="shared" si="11"/>
        <v>#DIV/0!</v>
      </c>
      <c r="H107" s="22" t="e">
        <f t="shared" si="11"/>
        <v>#DIV/0!</v>
      </c>
      <c r="I107" s="22" t="e">
        <f t="shared" si="11"/>
        <v>#DIV/0!</v>
      </c>
      <c r="J107" s="22" t="e">
        <f t="shared" si="11"/>
        <v>#DIV/0!</v>
      </c>
      <c r="K107" s="22" t="e">
        <f t="shared" si="11"/>
        <v>#DIV/0!</v>
      </c>
      <c r="L107" s="22" t="e">
        <f t="shared" si="11"/>
        <v>#DIV/0!</v>
      </c>
      <c r="M107" s="22" t="e">
        <f t="shared" si="11"/>
        <v>#DIV/0!</v>
      </c>
      <c r="N107" s="23">
        <v>2</v>
      </c>
      <c r="O107" s="24" t="s">
        <v>27</v>
      </c>
    </row>
    <row r="108" spans="1:15" x14ac:dyDescent="0.25">
      <c r="N108" s="25">
        <f>N104*100/N105</f>
        <v>10</v>
      </c>
      <c r="O108" s="24" t="s">
        <v>28</v>
      </c>
    </row>
    <row r="111" spans="1:15" x14ac:dyDescent="0.25">
      <c r="H111" s="18"/>
      <c r="I111" s="18"/>
      <c r="J111" s="18"/>
      <c r="K111" s="18"/>
    </row>
    <row r="112" spans="1:15" x14ac:dyDescent="0.25">
      <c r="F112" s="44" t="s">
        <v>6</v>
      </c>
      <c r="G112" s="44"/>
      <c r="H112" s="44"/>
      <c r="I112" s="44"/>
      <c r="J112" s="44"/>
    </row>
    <row r="113" spans="1:15" x14ac:dyDescent="0.25">
      <c r="B113" s="15" t="s">
        <v>10</v>
      </c>
      <c r="C113" s="15" t="s">
        <v>11</v>
      </c>
      <c r="D113" s="15" t="s">
        <v>12</v>
      </c>
      <c r="E113" s="15" t="s">
        <v>13</v>
      </c>
      <c r="F113" s="15" t="s">
        <v>14</v>
      </c>
      <c r="G113" s="15" t="s">
        <v>15</v>
      </c>
      <c r="H113" s="15" t="s">
        <v>16</v>
      </c>
      <c r="I113" s="15" t="s">
        <v>17</v>
      </c>
      <c r="J113" s="15" t="s">
        <v>18</v>
      </c>
      <c r="K113" s="15" t="s">
        <v>19</v>
      </c>
      <c r="L113" s="15" t="s">
        <v>20</v>
      </c>
      <c r="M113" s="15" t="s">
        <v>21</v>
      </c>
      <c r="N113" s="16" t="s">
        <v>22</v>
      </c>
    </row>
    <row r="114" spans="1:15" x14ac:dyDescent="0.25">
      <c r="A114" s="4" t="s">
        <v>23</v>
      </c>
      <c r="B114" s="19">
        <v>0</v>
      </c>
      <c r="C114" s="19">
        <v>0</v>
      </c>
      <c r="D114" s="19">
        <v>1</v>
      </c>
      <c r="E114" s="19">
        <v>0</v>
      </c>
      <c r="F114" s="19">
        <v>0</v>
      </c>
      <c r="G114" s="19"/>
      <c r="H114" s="19"/>
      <c r="I114" s="19"/>
      <c r="J114" s="19"/>
      <c r="K114" s="19"/>
      <c r="L114" s="19"/>
      <c r="M114" s="19"/>
      <c r="N114" s="20">
        <f>SUM(B114:M114)</f>
        <v>1</v>
      </c>
    </row>
    <row r="115" spans="1:15" x14ac:dyDescent="0.25">
      <c r="A115" s="4" t="s">
        <v>24</v>
      </c>
      <c r="B115" s="34">
        <v>0</v>
      </c>
      <c r="C115" s="34">
        <v>0</v>
      </c>
      <c r="D115" s="21">
        <v>0</v>
      </c>
      <c r="E115" s="21">
        <v>0</v>
      </c>
      <c r="F115" s="21">
        <v>0</v>
      </c>
      <c r="G115" s="21"/>
      <c r="H115" s="21"/>
      <c r="I115" s="21"/>
      <c r="J115" s="21"/>
      <c r="K115" s="21"/>
      <c r="L115" s="21"/>
      <c r="M115" s="21"/>
      <c r="N115" s="20">
        <f>SUM(B115:M115)</f>
        <v>0</v>
      </c>
    </row>
    <row r="116" spans="1:15" x14ac:dyDescent="0.25">
      <c r="A116" s="4" t="s">
        <v>25</v>
      </c>
      <c r="B116" s="19">
        <f>A117+B114-B115</f>
        <v>10</v>
      </c>
      <c r="C116" s="27">
        <f>B116+C114-C115</f>
        <v>10</v>
      </c>
      <c r="D116" s="27">
        <f>C116+D114-D115</f>
        <v>11</v>
      </c>
      <c r="E116" s="27">
        <f>D116+E114-E115</f>
        <v>11</v>
      </c>
      <c r="F116" s="27">
        <f>E116+F114-F115</f>
        <v>11</v>
      </c>
      <c r="G116" s="27"/>
      <c r="H116" s="27"/>
      <c r="I116" s="27"/>
      <c r="J116" s="27"/>
      <c r="K116" s="27"/>
      <c r="L116" s="27"/>
      <c r="M116" s="27"/>
      <c r="N116" s="20">
        <f>A117+N114-N115</f>
        <v>11</v>
      </c>
    </row>
    <row r="117" spans="1:15" x14ac:dyDescent="0.25">
      <c r="A117" s="6">
        <v>10</v>
      </c>
    </row>
    <row r="118" spans="1:15" x14ac:dyDescent="0.25">
      <c r="A118" s="4" t="s">
        <v>26</v>
      </c>
      <c r="B118" s="22">
        <f t="shared" ref="B118:M118" si="12">B115*100/B116</f>
        <v>0</v>
      </c>
      <c r="C118" s="22">
        <f t="shared" si="12"/>
        <v>0</v>
      </c>
      <c r="D118" s="22">
        <f t="shared" si="12"/>
        <v>0</v>
      </c>
      <c r="E118" s="22">
        <f t="shared" si="12"/>
        <v>0</v>
      </c>
      <c r="F118" s="22">
        <f t="shared" si="12"/>
        <v>0</v>
      </c>
      <c r="G118" s="22" t="e">
        <f t="shared" si="12"/>
        <v>#DIV/0!</v>
      </c>
      <c r="H118" s="22" t="e">
        <f t="shared" si="12"/>
        <v>#DIV/0!</v>
      </c>
      <c r="I118" s="22" t="e">
        <f t="shared" si="12"/>
        <v>#DIV/0!</v>
      </c>
      <c r="J118" s="22" t="e">
        <f t="shared" si="12"/>
        <v>#DIV/0!</v>
      </c>
      <c r="K118" s="22" t="e">
        <f t="shared" si="12"/>
        <v>#DIV/0!</v>
      </c>
      <c r="L118" s="22" t="e">
        <f t="shared" si="12"/>
        <v>#DIV/0!</v>
      </c>
      <c r="M118" s="22" t="e">
        <f t="shared" si="12"/>
        <v>#DIV/0!</v>
      </c>
      <c r="N118" s="23">
        <f>B118</f>
        <v>0</v>
      </c>
      <c r="O118" s="24" t="s">
        <v>27</v>
      </c>
    </row>
    <row r="119" spans="1:15" x14ac:dyDescent="0.25">
      <c r="N119" s="25">
        <f>N115*100/N116</f>
        <v>0</v>
      </c>
      <c r="O119" s="24" t="s">
        <v>28</v>
      </c>
    </row>
    <row r="127" spans="1:15" x14ac:dyDescent="0.25">
      <c r="H127" s="43" t="s">
        <v>56</v>
      </c>
      <c r="I127" s="43"/>
      <c r="J127" s="43"/>
      <c r="K127" s="43"/>
    </row>
    <row r="128" spans="1:15" ht="15.75" thickBot="1" x14ac:dyDescent="0.3">
      <c r="H128" s="17" t="s">
        <v>55</v>
      </c>
      <c r="I128" s="17" t="s">
        <v>25</v>
      </c>
      <c r="J128" s="17" t="s">
        <v>24</v>
      </c>
      <c r="K128" s="17" t="s">
        <v>26</v>
      </c>
    </row>
    <row r="129" spans="2:11" x14ac:dyDescent="0.25">
      <c r="B129" s="28" t="s">
        <v>39</v>
      </c>
      <c r="C129" s="29"/>
      <c r="D129" s="29">
        <f>SUM(B12+B21+B39+B47+B56+B65+B73+B83+B94+B104+B115)</f>
        <v>16</v>
      </c>
      <c r="E129" s="30"/>
      <c r="H129" s="17" t="s">
        <v>10</v>
      </c>
      <c r="I129" s="20">
        <f>SUM(B13+B22+B31+B40+B48+B57+B66+B74+B84+B95+B105+B116)</f>
        <v>123</v>
      </c>
      <c r="J129" s="20">
        <f>D129</f>
        <v>16</v>
      </c>
      <c r="K129" s="42">
        <f>J129*100/I129</f>
        <v>13.008130081300813</v>
      </c>
    </row>
    <row r="130" spans="2:11" x14ac:dyDescent="0.25">
      <c r="B130" s="31" t="s">
        <v>38</v>
      </c>
      <c r="D130" s="17">
        <f>SUM(C12+C30+C39+C47+C56+C65+C73+C83+C94+C104+C115+C121)</f>
        <v>7</v>
      </c>
      <c r="E130" s="32"/>
      <c r="H130" s="17" t="s">
        <v>11</v>
      </c>
      <c r="I130" s="20">
        <f>SUBTOTAL(109,I129)</f>
        <v>123</v>
      </c>
      <c r="J130" s="20">
        <f>D130</f>
        <v>7</v>
      </c>
      <c r="K130" s="42">
        <f>J130*100/I130</f>
        <v>5.691056910569106</v>
      </c>
    </row>
    <row r="131" spans="2:11" x14ac:dyDescent="0.25">
      <c r="B131" s="31" t="s">
        <v>42</v>
      </c>
      <c r="D131" s="17">
        <f>SUM(D12+D21+D30+D39+D47+D56+D65+D73+D83+D94+D104+D115+D121)</f>
        <v>11</v>
      </c>
      <c r="E131" s="32"/>
      <c r="H131" s="17" t="s">
        <v>12</v>
      </c>
      <c r="I131" s="20">
        <f>D13+D22+D31+D40+D48+D57+D66+D74+D84+D95+D105+D116</f>
        <v>121</v>
      </c>
      <c r="J131" s="20">
        <f>D131</f>
        <v>11</v>
      </c>
      <c r="K131" s="42">
        <f>J131*100/I131</f>
        <v>9.0909090909090917</v>
      </c>
    </row>
    <row r="132" spans="2:11" x14ac:dyDescent="0.25">
      <c r="B132" s="31" t="s">
        <v>43</v>
      </c>
      <c r="D132" s="17">
        <f>SUM(E12+E21+E30+E39+E47+E56+E65+E73+E83+E94+E104+E115+E124)</f>
        <v>7</v>
      </c>
      <c r="E132" s="32"/>
      <c r="H132" s="17" t="s">
        <v>13</v>
      </c>
      <c r="I132" s="20">
        <f>E13+E22+E31+E40+E48+E57+E66+E74+E84+E95+E105+E116</f>
        <v>123</v>
      </c>
      <c r="J132" s="20">
        <f>D132</f>
        <v>7</v>
      </c>
      <c r="K132" s="42">
        <f>J132*100/I132</f>
        <v>5.691056910569106</v>
      </c>
    </row>
    <row r="133" spans="2:11" x14ac:dyDescent="0.25">
      <c r="B133" s="31" t="s">
        <v>45</v>
      </c>
      <c r="D133" s="17">
        <f>SUM(F12+F21+F30+F39+F47+F56+F65+F73+F83+F94+F104+F115)</f>
        <v>7</v>
      </c>
      <c r="E133" s="32"/>
      <c r="H133" s="17" t="s">
        <v>14</v>
      </c>
      <c r="I133" s="20">
        <f>F13+F22+F31+F40+F48+F57+F66+F74+F84+F95+F105+F116+F122</f>
        <v>121</v>
      </c>
      <c r="J133" s="20">
        <f>D133</f>
        <v>7</v>
      </c>
      <c r="K133" s="42">
        <f>J133*100/I133</f>
        <v>5.785123966942149</v>
      </c>
    </row>
    <row r="134" spans="2:11" x14ac:dyDescent="0.25">
      <c r="B134" s="31" t="s">
        <v>46</v>
      </c>
      <c r="D134" s="17" t="e">
        <f>SUM(G12+G21+G30+G39+G47+G56+G65+G73+#REF!+#REF!+G83+G94+G104+G115+#REF!)</f>
        <v>#REF!</v>
      </c>
      <c r="E134" s="32"/>
      <c r="I134" s="20"/>
      <c r="J134" s="20"/>
      <c r="K134" s="42"/>
    </row>
    <row r="135" spans="2:11" x14ac:dyDescent="0.25">
      <c r="B135" s="31" t="s">
        <v>47</v>
      </c>
      <c r="D135" s="17" t="e">
        <f>SUM(H12+H21+H30+H39+H47+H56+H65+H73+#REF!+#REF!+H83+H94+H104+H115+#REF!)</f>
        <v>#REF!</v>
      </c>
      <c r="E135" s="32"/>
      <c r="I135" s="20"/>
      <c r="J135" s="20"/>
      <c r="K135" s="42"/>
    </row>
    <row r="136" spans="2:11" x14ac:dyDescent="0.25">
      <c r="B136" s="31" t="s">
        <v>48</v>
      </c>
      <c r="D136" s="17" t="e">
        <f>SUM(I12+I21+I30+I39+I47+I56+I65+I73+#REF!+#REF!+I83+I94+I94+I104+I115+#REF!)</f>
        <v>#REF!</v>
      </c>
      <c r="E136" s="32"/>
      <c r="I136" s="20"/>
      <c r="J136" s="20"/>
      <c r="K136" s="42"/>
    </row>
    <row r="137" spans="2:11" x14ac:dyDescent="0.25">
      <c r="B137" s="31" t="s">
        <v>50</v>
      </c>
      <c r="D137" s="17" t="e">
        <f>SUM(J12+J21+J30+J39+J47+J56+J65+J73+#REF!+#REF!+J83+J94+J104+J115+#REF!)</f>
        <v>#REF!</v>
      </c>
      <c r="E137" s="32"/>
    </row>
    <row r="138" spans="2:11" x14ac:dyDescent="0.25">
      <c r="B138" s="31" t="s">
        <v>51</v>
      </c>
      <c r="D138" s="17" t="e">
        <f>SUM(K12+K21+K30+K39+K47+K56+K65+K73+#REF!+#REF!+K83+K94+K104+K115+#REF!)</f>
        <v>#REF!</v>
      </c>
      <c r="E138" s="32"/>
    </row>
    <row r="139" spans="2:11" x14ac:dyDescent="0.25">
      <c r="B139" s="31" t="s">
        <v>52</v>
      </c>
      <c r="D139" s="17" t="e">
        <f>L12+L21+L30+L39+L47+L56+L65+L73+#REF!+#REF!+L83+L94+L104+L115+#REF!</f>
        <v>#REF!</v>
      </c>
      <c r="E139" s="32"/>
    </row>
    <row r="140" spans="2:11" x14ac:dyDescent="0.25">
      <c r="B140" s="31" t="s">
        <v>53</v>
      </c>
      <c r="D140" s="17" t="e">
        <f>SUM(M12+M21+M30+M39+M47+M56+M65+M73+#REF!+#REF!+M83+M94+M104+M115+#REF!)</f>
        <v>#REF!</v>
      </c>
      <c r="E140" s="32"/>
    </row>
    <row r="141" spans="2:11" ht="15.75" thickBot="1" x14ac:dyDescent="0.3">
      <c r="B141" s="36" t="s">
        <v>37</v>
      </c>
      <c r="C141" s="37"/>
      <c r="D141" s="37">
        <f>SUM(D129:D133)</f>
        <v>48</v>
      </c>
      <c r="E141" s="38"/>
    </row>
    <row r="143" spans="2:11" x14ac:dyDescent="0.25">
      <c r="D143" s="33"/>
    </row>
    <row r="144" spans="2:11" x14ac:dyDescent="0.25">
      <c r="D144" s="33" t="s">
        <v>41</v>
      </c>
      <c r="E144" s="17">
        <f>SUM(N13+N22+N31+N40+N48+N57+N66+N74+N84+N95+N105+N116+N124)</f>
        <v>121</v>
      </c>
    </row>
    <row r="145" spans="2:5" x14ac:dyDescent="0.25">
      <c r="B145" s="17" t="s">
        <v>44</v>
      </c>
      <c r="D145" s="41">
        <f>D141*100/E144</f>
        <v>39.669421487603309</v>
      </c>
    </row>
    <row r="154" spans="2:5" x14ac:dyDescent="0.25">
      <c r="B154" s="39" t="s">
        <v>36</v>
      </c>
      <c r="C154" s="39"/>
      <c r="D154" s="39" t="s">
        <v>28</v>
      </c>
      <c r="E154" s="39"/>
    </row>
    <row r="155" spans="2:5" x14ac:dyDescent="0.25">
      <c r="B155" s="17" t="str">
        <f>F9</f>
        <v>ATLACOMULCO</v>
      </c>
      <c r="D155" s="33">
        <f>N16</f>
        <v>44.444444444444443</v>
      </c>
    </row>
    <row r="156" spans="2:5" x14ac:dyDescent="0.25">
      <c r="B156" s="17" t="str">
        <f>F18</f>
        <v>ATLIXCO</v>
      </c>
      <c r="D156" s="33">
        <f>N25</f>
        <v>11.111111111111111</v>
      </c>
    </row>
    <row r="157" spans="2:5" x14ac:dyDescent="0.25">
      <c r="B157" s="17" t="str">
        <f>F27</f>
        <v>CORDOBA</v>
      </c>
      <c r="D157" s="33">
        <f>N34</f>
        <v>5.2631578947368425</v>
      </c>
    </row>
    <row r="158" spans="2:5" x14ac:dyDescent="0.25">
      <c r="B158" s="17" t="str">
        <f>F36</f>
        <v>CUERNAVACA</v>
      </c>
      <c r="D158" s="33">
        <f>N43</f>
        <v>200</v>
      </c>
    </row>
    <row r="159" spans="2:5" x14ac:dyDescent="0.25">
      <c r="B159" s="17" t="str">
        <f>F44</f>
        <v>HUAMANTLA</v>
      </c>
      <c r="D159" s="33">
        <f>N51</f>
        <v>77.777777777777771</v>
      </c>
    </row>
    <row r="160" spans="2:5" x14ac:dyDescent="0.25">
      <c r="B160" s="17" t="str">
        <f>F53</f>
        <v>IXTLAHUACA</v>
      </c>
      <c r="D160" s="33">
        <f>N60</f>
        <v>50</v>
      </c>
    </row>
    <row r="161" spans="2:4" x14ac:dyDescent="0.25">
      <c r="B161" s="17" t="str">
        <f>F62</f>
        <v>MIACATLAN</v>
      </c>
      <c r="D161" s="33">
        <f>N69</f>
        <v>42.857142857142854</v>
      </c>
    </row>
    <row r="162" spans="2:4" x14ac:dyDescent="0.25">
      <c r="B162" s="17" t="str">
        <f>F70</f>
        <v>ORIZABA</v>
      </c>
      <c r="D162" s="33">
        <f>N77</f>
        <v>23.80952380952381</v>
      </c>
    </row>
    <row r="163" spans="2:4" x14ac:dyDescent="0.25">
      <c r="B163" s="17" t="e">
        <f>#REF!</f>
        <v>#REF!</v>
      </c>
      <c r="D163" s="33" t="e">
        <f>#REF!</f>
        <v>#REF!</v>
      </c>
    </row>
    <row r="164" spans="2:4" x14ac:dyDescent="0.25">
      <c r="B164" s="17" t="str">
        <f>F80</f>
        <v>SAN LUIS</v>
      </c>
      <c r="D164" s="33">
        <f>N87</f>
        <v>22.222222222222221</v>
      </c>
    </row>
    <row r="165" spans="2:4" x14ac:dyDescent="0.25">
      <c r="B165" s="17" t="str">
        <f>F91</f>
        <v>TENANGO</v>
      </c>
      <c r="D165" s="33">
        <f>N98</f>
        <v>180</v>
      </c>
    </row>
    <row r="166" spans="2:4" x14ac:dyDescent="0.25">
      <c r="B166" s="17" t="str">
        <f>F101</f>
        <v>TLAXCALA</v>
      </c>
      <c r="D166" s="33">
        <f>N108</f>
        <v>10</v>
      </c>
    </row>
    <row r="167" spans="2:4" x14ac:dyDescent="0.25">
      <c r="B167" s="17" t="str">
        <f>F112</f>
        <v>TULA</v>
      </c>
      <c r="D167" s="33">
        <f>N119</f>
        <v>0</v>
      </c>
    </row>
    <row r="169" spans="2:4" x14ac:dyDescent="0.25">
      <c r="D169" s="33"/>
    </row>
  </sheetData>
  <mergeCells count="14">
    <mergeCell ref="F44:J44"/>
    <mergeCell ref="C2:M3"/>
    <mergeCell ref="F9:J9"/>
    <mergeCell ref="F18:J18"/>
    <mergeCell ref="F27:J27"/>
    <mergeCell ref="F36:J36"/>
    <mergeCell ref="H127:K127"/>
    <mergeCell ref="F91:J91"/>
    <mergeCell ref="F101:J101"/>
    <mergeCell ref="F112:J112"/>
    <mergeCell ref="F53:J53"/>
    <mergeCell ref="F62:J62"/>
    <mergeCell ref="F70:J70"/>
    <mergeCell ref="F80:J80"/>
  </mergeCells>
  <conditionalFormatting sqref="B143:B144 B129:E141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0866141732283472" right="0.70866141732283472" top="0.74803149606299213" bottom="0.74803149606299213" header="0.31496062992125984" footer="0.31496062992125984"/>
  <pageSetup scale="17" fitToWidth="2" orientation="landscape" verticalDpi="0" r:id="rId1"/>
  <ignoredErrors>
    <ignoredError sqref="D134:D140" evalError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INDICADOR 2025</vt:lpstr>
      <vt:lpstr>INDICADOR X SUCURSAL 2025</vt:lpstr>
      <vt:lpstr>SUCURSALES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Mejia</dc:creator>
  <cp:lastModifiedBy>Martha Mejia</cp:lastModifiedBy>
  <cp:lastPrinted>2026-06-05T21:09:53Z</cp:lastPrinted>
  <dcterms:created xsi:type="dcterms:W3CDTF">2025-03-04T21:25:33Z</dcterms:created>
  <dcterms:modified xsi:type="dcterms:W3CDTF">2026-06-05T21:51:22Z</dcterms:modified>
</cp:coreProperties>
</file>